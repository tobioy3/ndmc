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nieloyetoro/Downloads/LBS/YEAR 2/DA/TAKEHOME EXAM/"/>
    </mc:Choice>
  </mc:AlternateContent>
  <xr:revisionPtr revIDLastSave="0" documentId="8_{A3575A70-AFE4-8745-B3FE-EC7BAAADFCC7}" xr6:coauthVersionLast="47" xr6:coauthVersionMax="47" xr10:uidLastSave="{00000000-0000-0000-0000-000000000000}"/>
  <bookViews>
    <workbookView xWindow="27040" yWindow="-4260" windowWidth="51200" windowHeight="20980" activeTab="7" xr2:uid="{8072F10E-1748-A548-A7BC-2F2B80F374F1}"/>
  </bookViews>
  <sheets>
    <sheet name="website" sheetId="1" r:id="rId1"/>
    <sheet name="instagram" sheetId="3" r:id="rId2"/>
    <sheet name="facebook" sheetId="2" r:id="rId3"/>
    <sheet name="x" sheetId="4" r:id="rId4"/>
    <sheet name="revenue_cost_montecarlo" sheetId="5" r:id="rId5"/>
    <sheet name="traffic_timeseries_prophet" sheetId="6" r:id="rId6"/>
    <sheet name="people_analytics" sheetId="7" r:id="rId7"/>
    <sheet name="association_rule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3"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2" i="2"/>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2" i="4"/>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2" i="7"/>
  <c r="H83" i="7"/>
  <c r="H8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4" i="7"/>
  <c r="H85" i="7"/>
  <c r="H86" i="7"/>
  <c r="H87" i="7"/>
  <c r="H88" i="7"/>
  <c r="H89" i="7"/>
  <c r="H90" i="7"/>
  <c r="H91" i="7"/>
  <c r="H92" i="7"/>
  <c r="H93" i="7"/>
  <c r="H94" i="7"/>
  <c r="H95" i="7"/>
  <c r="H96" i="7"/>
  <c r="H97" i="7"/>
  <c r="H98" i="7"/>
  <c r="H99" i="7"/>
  <c r="H100" i="7"/>
  <c r="H101" i="7"/>
  <c r="H102" i="7"/>
  <c r="H103" i="7"/>
  <c r="H104" i="7"/>
  <c r="H105" i="7"/>
  <c r="H106" i="7"/>
  <c r="H107" i="7"/>
  <c r="H108" i="7"/>
  <c r="H2" i="7"/>
  <c r="AH25" i="5" l="1"/>
  <c r="AH26" i="5"/>
  <c r="AH27" i="5"/>
  <c r="AH28" i="5"/>
  <c r="AH29" i="5"/>
  <c r="AH30" i="5"/>
  <c r="AH31" i="5"/>
  <c r="AH32" i="5"/>
  <c r="AH33" i="5"/>
  <c r="AH34" i="5"/>
  <c r="AH35" i="5"/>
  <c r="AH36" i="5"/>
  <c r="AH37" i="5"/>
  <c r="AH38" i="5"/>
  <c r="AH39" i="5"/>
  <c r="AH40" i="5"/>
  <c r="AH41" i="5"/>
  <c r="AH3" i="5"/>
  <c r="AH4" i="5"/>
  <c r="AH5" i="5"/>
  <c r="AH6" i="5"/>
  <c r="AH7" i="5"/>
  <c r="AH8" i="5"/>
  <c r="AH9" i="5"/>
  <c r="AH10" i="5"/>
  <c r="AH11" i="5"/>
  <c r="AH12" i="5"/>
  <c r="AH13" i="5"/>
  <c r="AH14" i="5"/>
  <c r="AH15" i="5"/>
  <c r="AH16" i="5"/>
  <c r="AH17" i="5"/>
  <c r="AH18" i="5"/>
  <c r="AH19" i="5"/>
  <c r="AH20" i="5"/>
  <c r="AH21" i="5"/>
  <c r="AH22" i="5"/>
  <c r="AH23" i="5"/>
  <c r="AH24" i="5"/>
  <c r="AH2" i="5"/>
  <c r="D3" i="5"/>
  <c r="AB3" i="5" s="1"/>
  <c r="D4" i="5"/>
  <c r="AB4" i="5" s="1"/>
  <c r="D5" i="5"/>
  <c r="AB5" i="5" s="1"/>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2" i="5"/>
  <c r="AB2" i="5" s="1"/>
  <c r="AI3" i="5" l="1"/>
  <c r="AJ3" i="5" s="1"/>
  <c r="AI2" i="5"/>
  <c r="AJ2" i="5" s="1"/>
  <c r="AI5" i="5"/>
  <c r="AJ5" i="5" s="1"/>
  <c r="AI4" i="5"/>
  <c r="AJ4" i="5" s="1"/>
  <c r="T14" i="5"/>
  <c r="T7" i="5"/>
  <c r="T8" i="5"/>
  <c r="T9" i="5"/>
  <c r="T10" i="5"/>
  <c r="T11" i="5"/>
  <c r="T12" i="5"/>
  <c r="T13" i="5"/>
  <c r="T15" i="5"/>
  <c r="T16" i="5"/>
  <c r="T17" i="5"/>
  <c r="T18" i="5"/>
  <c r="T19" i="5"/>
  <c r="T20" i="5"/>
  <c r="T21" i="5"/>
  <c r="T22" i="5"/>
  <c r="T23" i="5"/>
  <c r="T24" i="5"/>
  <c r="T25" i="5"/>
  <c r="T26" i="5"/>
  <c r="T27" i="5"/>
  <c r="T28" i="5"/>
  <c r="T29" i="5"/>
  <c r="T30" i="5"/>
  <c r="T31" i="5"/>
  <c r="T32" i="5"/>
  <c r="T33" i="5"/>
  <c r="T34" i="5"/>
  <c r="T35" i="5"/>
  <c r="T36" i="5"/>
  <c r="T37" i="5"/>
  <c r="T38" i="5"/>
  <c r="T39" i="5"/>
  <c r="T40" i="5"/>
  <c r="T41" i="5"/>
  <c r="T6" i="5"/>
  <c r="E14" i="5"/>
  <c r="E8" i="5"/>
  <c r="E9" i="5"/>
  <c r="E10" i="5"/>
  <c r="E11" i="5"/>
  <c r="E12" i="5"/>
  <c r="E13" i="5"/>
  <c r="E15" i="5"/>
  <c r="E16" i="5"/>
  <c r="E17" i="5"/>
  <c r="E18" i="5"/>
  <c r="E19" i="5"/>
  <c r="E20" i="5"/>
  <c r="E21" i="5"/>
  <c r="E22" i="5"/>
  <c r="E23" i="5"/>
  <c r="E24" i="5"/>
  <c r="E25" i="5"/>
  <c r="E26" i="5"/>
  <c r="E27" i="5"/>
  <c r="E28" i="5"/>
  <c r="E29" i="5"/>
  <c r="E30" i="5"/>
  <c r="E31" i="5"/>
  <c r="E32" i="5"/>
  <c r="E33" i="5"/>
  <c r="E34" i="5"/>
  <c r="E35" i="5"/>
  <c r="E36" i="5"/>
  <c r="E37" i="5"/>
  <c r="E38" i="5"/>
  <c r="E39" i="5"/>
  <c r="E40" i="5"/>
  <c r="E41" i="5"/>
  <c r="E7" i="5"/>
  <c r="E6" i="5"/>
  <c r="I40" i="5"/>
  <c r="I41" i="5"/>
  <c r="I39" i="5"/>
  <c r="I38" i="5"/>
  <c r="I37" i="5"/>
  <c r="I36" i="5"/>
  <c r="I28" i="5"/>
  <c r="I27" i="5"/>
  <c r="I26" i="5"/>
  <c r="I25" i="5"/>
  <c r="I24" i="5"/>
  <c r="I23" i="5"/>
  <c r="I22" i="5"/>
  <c r="I21" i="5"/>
  <c r="I20" i="5"/>
  <c r="I19" i="5"/>
  <c r="I18" i="5"/>
  <c r="I17" i="5"/>
  <c r="I16" i="5"/>
  <c r="I15" i="5"/>
  <c r="I14" i="5"/>
  <c r="I12" i="5"/>
  <c r="K6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2" i="3"/>
  <c r="AB37" i="5" l="1"/>
  <c r="AI37" i="5" s="1"/>
  <c r="AJ37" i="5" s="1"/>
  <c r="AB25" i="5"/>
  <c r="AI25" i="5" s="1"/>
  <c r="AJ25" i="5" s="1"/>
  <c r="AB12" i="5"/>
  <c r="AI12" i="5" s="1"/>
  <c r="AJ12" i="5" s="1"/>
  <c r="AB27" i="5"/>
  <c r="AI27" i="5" s="1"/>
  <c r="AJ27" i="5" s="1"/>
  <c r="AB11" i="5"/>
  <c r="AI11" i="5" s="1"/>
  <c r="AJ11" i="5" s="1"/>
  <c r="AB34" i="5"/>
  <c r="AI34" i="5" s="1"/>
  <c r="AJ34" i="5" s="1"/>
  <c r="AB33" i="5"/>
  <c r="AI33" i="5" s="1"/>
  <c r="AJ33" i="5" s="1"/>
  <c r="AB14" i="5"/>
  <c r="AI14" i="5" s="1"/>
  <c r="AJ14" i="5" s="1"/>
  <c r="AB19" i="5"/>
  <c r="AI19" i="5" s="1"/>
  <c r="AJ19" i="5" s="1"/>
  <c r="AB18" i="5"/>
  <c r="AI18" i="5" s="1"/>
  <c r="AJ18" i="5" s="1"/>
  <c r="AB36" i="5"/>
  <c r="AI36" i="5" s="1"/>
  <c r="AJ36" i="5" s="1"/>
  <c r="AB35" i="5"/>
  <c r="AI35" i="5" s="1"/>
  <c r="AJ35" i="5" s="1"/>
  <c r="AB20" i="5"/>
  <c r="AI20" i="5" s="1"/>
  <c r="AJ20" i="5" s="1"/>
  <c r="AB6" i="5"/>
  <c r="AI6" i="5" s="1"/>
  <c r="AJ6" i="5" s="1"/>
  <c r="AB7" i="5"/>
  <c r="AI7" i="5" s="1"/>
  <c r="AJ7" i="5" s="1"/>
  <c r="AB41" i="5"/>
  <c r="AI41" i="5" s="1"/>
  <c r="AJ41" i="5" s="1"/>
  <c r="AB23" i="5"/>
  <c r="AI23" i="5" s="1"/>
  <c r="AJ23" i="5" s="1"/>
  <c r="AB22" i="5"/>
  <c r="AI22" i="5" s="1"/>
  <c r="AJ22" i="5" s="1"/>
  <c r="AB21" i="5"/>
  <c r="AI21" i="5" s="1"/>
  <c r="AJ21" i="5" s="1"/>
  <c r="AB17" i="5"/>
  <c r="AI17" i="5" s="1"/>
  <c r="AJ17" i="5" s="1"/>
  <c r="AB16" i="5"/>
  <c r="AI16" i="5" s="1"/>
  <c r="AJ16" i="5" s="1"/>
  <c r="AB10" i="5"/>
  <c r="AI10" i="5" s="1"/>
  <c r="AJ10" i="5" s="1"/>
  <c r="AB9" i="5"/>
  <c r="AI9" i="5" s="1"/>
  <c r="AJ9" i="5" s="1"/>
  <c r="AB8" i="5"/>
  <c r="AI8" i="5" s="1"/>
  <c r="AJ8" i="5" s="1"/>
  <c r="AB32" i="5"/>
  <c r="AI32" i="5" s="1"/>
  <c r="AJ32" i="5" s="1"/>
  <c r="AB31" i="5"/>
  <c r="AI31" i="5" s="1"/>
  <c r="AJ31" i="5" s="1"/>
  <c r="AB29" i="5"/>
  <c r="AI29" i="5" s="1"/>
  <c r="AJ29" i="5" s="1"/>
  <c r="AB40" i="5"/>
  <c r="AI40" i="5" s="1"/>
  <c r="AJ40" i="5" s="1"/>
  <c r="AB24" i="5"/>
  <c r="AI24" i="5" s="1"/>
  <c r="AJ24" i="5" s="1"/>
  <c r="AB30" i="5"/>
  <c r="AI30" i="5" s="1"/>
  <c r="AJ30" i="5" s="1"/>
  <c r="AB28" i="5"/>
  <c r="AI28" i="5" s="1"/>
  <c r="AJ28" i="5" s="1"/>
  <c r="AB39" i="5"/>
  <c r="AI39" i="5" s="1"/>
  <c r="AJ39" i="5" s="1"/>
  <c r="AB15" i="5"/>
  <c r="AI15" i="5" s="1"/>
  <c r="AJ15" i="5" s="1"/>
  <c r="AB38" i="5"/>
  <c r="AI38" i="5" s="1"/>
  <c r="AJ38" i="5" s="1"/>
  <c r="AB26" i="5"/>
  <c r="AI26" i="5" s="1"/>
  <c r="AJ26" i="5" s="1"/>
  <c r="AB13" i="5"/>
  <c r="AI13" i="5" s="1"/>
  <c r="AJ13" i="5" s="1"/>
</calcChain>
</file>

<file path=xl/sharedStrings.xml><?xml version="1.0" encoding="utf-8"?>
<sst xmlns="http://schemas.openxmlformats.org/spreadsheetml/2006/main" count="1781" uniqueCount="1230">
  <si>
    <t>publish_date</t>
  </si>
  <si>
    <t>year</t>
  </si>
  <si>
    <t>content_type</t>
  </si>
  <si>
    <t>engagement_rate_pct</t>
  </si>
  <si>
    <t>“I am sorry” – Actor, Bolanle Ninalowo makes open confession about his role in Hollywood’s ‘Extraction 2’ (video)</t>
  </si>
  <si>
    <t>link</t>
  </si>
  <si>
    <t>article_headline</t>
  </si>
  <si>
    <t>article_category</t>
  </si>
  <si>
    <t>views</t>
  </si>
  <si>
    <t>active_users</t>
  </si>
  <si>
    <t>views_per_active_user</t>
  </si>
  <si>
    <t>average_engagement_time_per_active_user_sec</t>
  </si>
  <si>
    <t>event_count</t>
  </si>
  <si>
    <t>sentiment_label</t>
  </si>
  <si>
    <t>Davido’s alleged fifth babymama, Anita Brown reacts after her adult videos surfaced online</t>
  </si>
  <si>
    <t>Entertainment News</t>
  </si>
  <si>
    <t>/davidos-alleged-fifth-babymama-anita-brown-reacts-adult-videos-surfaced-online/</t>
  </si>
  <si>
    <t>/sorry-bolanle-ninalowo-makes-open-confession/</t>
  </si>
  <si>
    <t>“Nigerian men are going to jail” – Netizens react as viral TikTok sensation Kelly celebrates 19th birthday</t>
  </si>
  <si>
    <t>Viral</t>
  </si>
  <si>
    <t>/nigerian-men-going-jail-reactions-viral-tiktok-sensation-kelly-clocks-19/</t>
  </si>
  <si>
    <t>/voice-sweet-many-internet-users-gush-after-hearing-chioma-adeleke-voice-first-time/</t>
  </si>
  <si>
    <t>“Her voice is so sweet” – Netizens gush over Chioma Adeleke after hearing her speak for the first time</t>
  </si>
  <si>
    <t>/wande-coal-been-married-year-reality-star-erica-claims/</t>
  </si>
  <si>
    <t>“Wande Coal and I have been married for a year” – Reality TV star, Erica</t>
  </si>
  <si>
    <t>/netizens-awe-comedienne-warri-pikin-flaunts-new-slim-physique-video/</t>
  </si>
  <si>
    <t>Netizens in awe as comedienne Real Warri Pikin flaunts her new slim physique (video)</t>
  </si>
  <si>
    <t>Check out jaw-dropping photos of Anita Brown, the American lady claiming to be pregnant for Davido</t>
  </si>
  <si>
    <t>/check-popping-photos-anita-brown-american-lady-claiming-davido/</t>
  </si>
  <si>
    <t>Skitmaker, Trinity Guy reacts after Police PRO called for his arrest over his extreme pranks</t>
  </si>
  <si>
    <t>/skitmaker-trinity-guy-reacts-police-pro-called-arrest-extreme-pranks/</t>
  </si>
  <si>
    <t>/davido-like-dat-download-mp3/</t>
  </si>
  <si>
    <t>New Music: Davido — Like Dat</t>
  </si>
  <si>
    <t>/failed-6-7-courses-first-semester-insider-reveals-alleged-result-happie-boys-cyprus-university/</t>
  </si>
  <si>
    <t>“They failed 6 out of 7 courses in first semester” – Insider reveals alleged result of Happie Boys in Cyprus University</t>
  </si>
  <si>
    <t>/davido-chiomas-visa-davidos-alleged-fifth-baby-mama-anita-brown-alleges/</t>
  </si>
  <si>
    <t>“Davido keeps getting Chioma’s visa denied on purpose” – Davido’s alleged fifth baby mama, Anita Brown alleges (Video)</t>
  </si>
  <si>
    <t>/happie-boys-spotted-entertaining-guests-club-north-cyprus-video/</t>
  </si>
  <si>
    <t>Happie Boys spotted entertaining guests at a club in North Cyprus (Video)</t>
  </si>
  <si>
    <t>/bobrisky-responds-after-being-mocked-that-his-face-is-fat-video/</t>
  </si>
  <si>
    <t>Bobrisky responds after being mocked that his face is fat (video)</t>
  </si>
  <si>
    <t>Priscilla Ojo Says She Will Reveal Her Son’s Face on Her Own Terms and Nobody Else’s</t>
  </si>
  <si>
    <t>/priscilla-ojo-son-face-terms/</t>
  </si>
  <si>
    <t>“I Don’t Touch My Money If It Drops Below ₦100 Million” — Streamer Peller Sets the Record Straight on His Broke Limit</t>
  </si>
  <si>
    <t>/money-streamer-pelle-record-straight-broke/</t>
  </si>
  <si>
    <t>/coronavirus-angry-youth-burn-police-station-for-stopping-their-friday-prayer/</t>
  </si>
  <si>
    <t>Coronavirus: Angry youth burn police station for stopping their Friday prayer</t>
  </si>
  <si>
    <t>News</t>
  </si>
  <si>
    <t>The Headies: An analysis of every Next Rated winner till date</t>
  </si>
  <si>
    <t>/the-headies-an-analysis-of-every-next-rated-winner-till-date/</t>
  </si>
  <si>
    <t>Editorial</t>
  </si>
  <si>
    <t>Doctors told me that Yinka had less than six months to live – Veteran singer, Ebenezer Obey speaks on the demise of his Son</t>
  </si>
  <si>
    <t>/doctors-told-that-yinka-less-than-six-months-live-veteran-singer-ebenezer-obey-speaks/</t>
  </si>
  <si>
    <t>/the-whole-edochie-family-tired-yul-edochies-cousin-sheila-edochie/</t>
  </si>
  <si>
    <t>/keep-your-happy-home-off-social-media-fct-police-spokesperson-advise-married-couples/</t>
  </si>
  <si>
    <t>/moment-singer-asake-jumped-crowd-concert-landed-floor-video/</t>
  </si>
  <si>
    <t>/usa-based-lesbian-and-professor-uju-anya-gets-proposed-to-by-her-partner/</t>
  </si>
  <si>
    <t>“The whole Edochie family is tired of him” – Yul Edochie’s cousin, Sheila Edochie</t>
  </si>
  <si>
    <t>“Keep your happy home off social media” – FCT police spokesperson advise married couples</t>
  </si>
  <si>
    <t>Moment singer, Asake jumped into crowd at a concert and landed on the floor (video)</t>
  </si>
  <si>
    <t>USA based lesbian and Professor, Uju Anya gets proposed to by her partner</t>
  </si>
  <si>
    <t>/actress-tonto-dikeh-breaks-silence-yvonne-nelson-accused-having-affair-iyanya/</t>
  </si>
  <si>
    <t>Actress, Tonto Dikeh breaks silence after Yvonne Nelson accused her of having an affair with Iyanya</t>
  </si>
  <si>
    <t>/mohbads-family-reportedly-collect-property-wife-gravesite-video/</t>
  </si>
  <si>
    <t>/his-noble-wife-slept-with-his-friend-perruzzi-anita-blows-hot-after-peruzzi-called-her-devil/</t>
  </si>
  <si>
    <t>/heartbreaking-moment-cross-gave-shoutout-mohbad-bbnaija-house-knowing-deceased-video/</t>
  </si>
  <si>
    <t>/psquare-nobody-ugly-mp3/</t>
  </si>
  <si>
    <t>/nigerian-lady-shares-mystery-object-discovered-fish-purchased-market-video/</t>
  </si>
  <si>
    <t>/living-well-family-late-deborah-samuel-cries-one-year-after-opm-pastor-relocated-port-harcourt/</t>
  </si>
  <si>
    <t>/korra-obidi-slept-friends-fiance-while-pregnant-second-child-justin-dean-spills/</t>
  </si>
  <si>
    <t>/i-cant-imagine-what-shes-going-through-sandra-iheuwa-consoles-chioma-amidst-pregnancy-saga/</t>
  </si>
  <si>
    <t>/who-among-give-man-award-person-you-suppose-throw-inside-prison-nigerian-singer-portable-reacts-to-bobrisky-winning-best-dressed-female-award/</t>
  </si>
  <si>
    <t>/davido-breaks-silence-two-women-accused-getting-pregnant/</t>
  </si>
  <si>
    <t>/bride-price-because-virgin-viral-lawyer-ifunanya/</t>
  </si>
  <si>
    <t>/portable-dedicates-new-song-titled-brotherhood-to-bobrisky-video/</t>
  </si>
  <si>
    <t>/actor-sylvester-madu-spotted-selling-second-hand-clothes-okrika/</t>
  </si>
  <si>
    <t>/2face-idibia-reacts-sons-stepfather-wished-teenager-happy-birthday/</t>
  </si>
  <si>
    <t>Singer, Mohbad passes on at age 27</t>
  </si>
  <si>
    <t>/singer-mohbad-passes-age-27/</t>
  </si>
  <si>
    <t>“If she comes here, we will collect everything” – Mohbad’s family plots how to collect his properties from his wife at his gravesite (video)</t>
  </si>
  <si>
    <t>“His noble “wife” slept with his friend, Perruzzi” – Anita blows hot after Peruzzi called her ‘devil’</t>
  </si>
  <si>
    <t>BBNaija: Heartbreaking moment Cross gave a shoutout to Mohbad not knowing he is now deceased (video)</t>
  </si>
  <si>
    <t>BBNaija</t>
  </si>
  <si>
    <t>Music</t>
  </si>
  <si>
    <t>Nigerian lady shares mystery object she discovered inside a fish she purchased at the market (VIDEO)</t>
  </si>
  <si>
    <t>“We are not living well” – Family of late Deborah Samuel cry out one year after OPM pastor relocated them to Port Harcourt</t>
  </si>
  <si>
    <t>“Korra Obidi slǝpt with her friend’s fiancé while pregnant with our second child” – Justin Dean spills with receipt (video)</t>
  </si>
  <si>
    <t>“I can’t imagine what she’s going through” – Sandra Iheuwa consoles Chioma amidst pregnancy saga</t>
  </si>
  <si>
    <t>“Who among you give man the award? Person you suppose throw inside prison” — Nigerian singer, Portable reacts to Bobrisky winning best dressed female award</t>
  </si>
  <si>
    <t>Davido breaks silence after two women accused him of getting them pregnant</t>
  </si>
  <si>
    <t>“My bride price is $15m because I’m still a virgin” – Viral lawyer, Ifunanya</t>
  </si>
  <si>
    <t>Portable dedicates new song titled ‘brotherhood’ to Bobrisky (VIDEO)</t>
  </si>
  <si>
    <t>Popular actor, Sylvester Madu spotted selling second-hand clothes ‘okrika’ in Enugu market (video)</t>
  </si>
  <si>
    <t>2face Idibia reacts after his son’s stepfather wished the teenager a happy birthday</t>
  </si>
  <si>
    <t>Lateef Adedimeji and Wife Mo Bimpe Welcome Triplets, All Three Are Boys</t>
  </si>
  <si>
    <t>/lateef-adedimeji-triplets-boys/</t>
  </si>
  <si>
    <t>date</t>
  </si>
  <si>
    <t>post_headline_or_caption</t>
  </si>
  <si>
    <t>reach</t>
  </si>
  <si>
    <t>reactions</t>
  </si>
  <si>
    <t>comments</t>
  </si>
  <si>
    <t>shares</t>
  </si>
  <si>
    <t>total_clicks</t>
  </si>
  <si>
    <t>seconds_viewed</t>
  </si>
  <si>
    <t>average_seconds_viewed</t>
  </si>
  <si>
    <t>sample_comment</t>
  </si>
  <si>
    <t>likes</t>
  </si>
  <si>
    <t>saves</t>
  </si>
  <si>
    <t>IG carousel</t>
  </si>
  <si>
    <t>IG image</t>
  </si>
  <si>
    <t>IG reel</t>
  </si>
  <si>
    <t>Lady shares how arrived Nigeria in April versus how she left in August.
🎥 TT/osasmelody7</t>
  </si>
  <si>
    <t>What is this, abeg?</t>
  </si>
  <si>
    <t>Swipe. 😭😩😩🫠</t>
  </si>
  <si>
    <t>A woman has finally accepted her boyfriend’s marriage proposal after he asked 43 times over seven years. Luke Wintrip, a tattoo artist from the UK, began proposing to his girlfriend Sarah in 2018, just six months into their relationship. Despite loving him, Sarah repeatedly turned down his proposals, saying she wasn’t ready and didn’t want to agree to something she might later regret.
However, Luke continued to propose with grand gestures over the years, including renting a castle in Prague, organizing candlelit dinners, and planning romantic getaways like a horseback ride on a Jamaican beach. After his 42nd attempt, Sarah told him she’d say yes the next time he asked, but he would have to wait.
On his 43rd proposal, Luke took Sarah to Greenwich in London and proposed again, calling her the center of his world. This time, she accepted. The couple got married in May during a destination wedding in Jamaica.</t>
  </si>
  <si>
    <t>Nooo. 😭😭😭</t>
  </si>
  <si>
    <t>Man shares how he went the extra mile to celebrate his girlfriend’s 25th birthday, but she only sent him a message on his.
🎥 TT/ - @beefydboss</t>
  </si>
  <si>
    <t>Lady expresses disappointment as she shows the jeans she ordered versus what she received.
🎥 TT/darr.rrx</t>
  </si>
  <si>
    <t>When you get it. 😂</t>
  </si>
  <si>
    <t>Woman shares her no-rice journey but ends up hospitalized on the 6th day.
🎥 TT/dorenos</t>
  </si>
  <si>
    <t>Lady shares moment she tried to be cute with her brother to get his reaction.
🎥 TT/stella0044</t>
  </si>
  <si>
    <t>Lady says her brother married the most prettiest woman in America.
🎥 TT/mercified8</t>
  </si>
  <si>
    <t>The realest response ever. 😭🤣</t>
  </si>
  <si>
    <t>What did she realize abeg?</t>
  </si>
  <si>
    <t>You no go suit up ke? 😭😭😭😭</t>
  </si>
  <si>
    <t>You have to zoom in well to see properly.</t>
  </si>
  <si>
    <t>Too real. 🤣</t>
  </si>
  <si>
    <t>Which artiste can you see? 😅</t>
  </si>
  <si>
    <t>I kid you not, I am lost. 
🎥 @thehuntgamesshow 
Edit: @joel_edit1</t>
  </si>
  <si>
    <t>“She doesn’t know how painful labour is” - Woman says as she hides her son from her sister who wanted to discipline him.
🎥 @mignon_faith3</t>
  </si>
  <si>
    <t>Lady shares what her best friend, who’s also her hairstylist, made her do because she wanted free hair.
🎥 TT/chichi_hairs01</t>
  </si>
  <si>
    <t>Lady breaks down in tears after discovering her and her lover’s genotypes are incompatible, four years into their relationship.
🎥 TT/realdebbie9160</t>
  </si>
  <si>
    <t>Singer Tiwa Savage gifts her son, Jamil, an iPhone for his 10th birthday with the condition of no social media.</t>
  </si>
  <si>
    <t>Just add the three ball pillows to it and it’s practically the same thing 🤷🏽‍♂️</t>
  </si>
  <si>
    <t>Please swipe.</t>
  </si>
  <si>
    <t>Una like to dey always drag this guy. 😭</t>
  </si>
  <si>
    <t>Which do you all prefer?</t>
  </si>
  <si>
    <t>Lady shares wild messages from her ex-boyfriend who expected her to beg after their breakup.</t>
  </si>
  <si>
    <t>Sweet or nah?</t>
  </si>
  <si>
    <t>It’s a crime to sleep for 6 hours?</t>
  </si>
  <si>
    <t>😭🤣</t>
  </si>
  <si>
    <t>I wholeheartedly agree with this.</t>
  </si>
  <si>
    <t>Lady surprises her best friend with a pregnancy bump reveal.
🎥 @mercy.adebisi</t>
  </si>
  <si>
    <t>Doctor shares what working 24 hours in the paediatric unit looks like.
🎥 TT/.chacho1</t>
  </si>
  <si>
    <t>NEPO is not nepotism?</t>
  </si>
  <si>
    <t>Lady shares video with her dad as she reveals she’s his favourite person in the world.
🎥 TT/sunshinepato1</t>
  </si>
  <si>
    <t>Lady shares how her brother was left discombobulated after eating the brownies she threw out.
🎥 @blaq_kie</t>
  </si>
  <si>
    <t>Ara adugbo, guess what?</t>
  </si>
  <si>
    <t>Weytin be this? 😭😭🤣</t>
  </si>
  <si>
    <t>Nigerian lady shares how she went to visit her boyfriend unannounced in another city.
🎥 @cal_mhe_iva</t>
  </si>
  <si>
    <t>??</t>
  </si>
  <si>
    <t>😭😂😂</t>
  </si>
  <si>
    <t>Is that poo poo?</t>
  </si>
  <si>
    <t>Lady shares how her 13-year-old brother asked a girl out with a list of rules and regulations.
🎥 @mide_of_the_good_life</t>
  </si>
  <si>
    <t>“Out of anger I lost my virginity to a random guy” – Lady’s story causes stir online as she reveals how she realised her ex was “only after her body” after they had a fight and tried to reconcile</t>
  </si>
  <si>
    <t>🤣🤣🤣</t>
  </si>
  <si>
    <t>The dog owner hid behind his gate to test his dog. 
🎥 @max_boerboel</t>
  </si>
  <si>
    <t>Nigerian lady born in 2005 reveals the age gap between her and her husband.
📷 TT/daughterofthanos1</t>
  </si>
  <si>
    <t>This is so sad man! 😢 
🎥 TT/thegods49</t>
  </si>
  <si>
    <t>😭😭🥲</t>
  </si>
  <si>
    <t>🤣 Fairs.</t>
  </si>
  <si>
    <t>“I no wear my glasses, I no dey see” — Funny moment as a lady couldn’t see her surprise proposal from afar.
🎥 @officialemerald_obed</t>
  </si>
  <si>
    <t>Lady shares how her decision to dress sexy for a sip and paint picnic ended in premium tears.
🎥 TT/feesah_beautybar</t>
  </si>
  <si>
    <t>Nigerian 18+ content creator reveals she makes ₦21 million monthly as she lashes out at an admirer asking her to stop.</t>
  </si>
  <si>
    <t>Teenager reveals the gift his school gave him for being the best student in Literature.
🎥 TT/flawless_media2.0</t>
  </si>
  <si>
    <t>Woman shares how she looked when she was married versus after getting a divorce, and the transformation is jaw-dropping!
🎥 TT/mirabelnugi</t>
  </si>
  <si>
    <t>Who in their right mind eat four eggs?</t>
  </si>
  <si>
    <t>If you like don’t goan laugh at that talking stage’s text. 😂🤣 (swipe)</t>
  </si>
  <si>
    <t>I am ridiculously impressed.</t>
  </si>
  <si>
    <t>This was an absolute delight to watch. 🥹🥹
🎥 @sunshineandsheddy</t>
  </si>
  <si>
    <t>Lady who went viral for marrying an American man reveals the DMs her husband received from other women.</t>
  </si>
  <si>
    <t>viral</t>
  </si>
  <si>
    <t>https://www.instagram.com/p/DNm0C_TsRjt/</t>
  </si>
  <si>
    <t>https://www.instagram.com/p/DQ3nK6RDBdX/</t>
  </si>
  <si>
    <t>https://www.instagram.com/p/DV23_H6jHtZ/</t>
  </si>
  <si>
    <t>https://www.instagram.com/p/DMxJ2VpIj8j/</t>
  </si>
  <si>
    <t>https://www.instagram.com/p/DSSPyTHDCVZ/</t>
  </si>
  <si>
    <t>https://www.instagram.com/p/DMPUHamizdO/</t>
  </si>
  <si>
    <t>https://www.instagram.com/p/DMmvPmzCKdW/</t>
  </si>
  <si>
    <t>https://www.instagram.com/p/DQJeku_jLEJ/</t>
  </si>
  <si>
    <t>https://www.instagram.com/p/DP6nJJgDN50/</t>
  </si>
  <si>
    <t>https://www.instagram.com/p/DO_M_oVDHkw/</t>
  </si>
  <si>
    <t>https://www.instagram.com/p/DMXTEQMI-3M/</t>
  </si>
  <si>
    <t>https://www.instagram.com/p/DJGtjITCkQU/</t>
  </si>
  <si>
    <t>https://www.instagram.com/p/DJJzOVaiPE8/</t>
  </si>
  <si>
    <t>https://www.instagram.com/p/DRusJaQjGma/</t>
  </si>
  <si>
    <t>https://www.instagram.com/p/DPPSv3BjEl-/</t>
  </si>
  <si>
    <t>https://www.instagram.com/p/DRwVcVTDI6a/</t>
  </si>
  <si>
    <t>https://www.instagram.com/p/DTKf5uNDHp2/</t>
  </si>
  <si>
    <t>https://www.instagram.com/p/DS7rak2iDTN/</t>
  </si>
  <si>
    <t>https://www.instagram.com/reel/DMNyM2JIGaR/</t>
  </si>
  <si>
    <t>https://www.instagram.com/p/DMfT3vMIU4I/</t>
  </si>
  <si>
    <t>https://www.instagram.com/p/DL28MUXIaFT/</t>
  </si>
  <si>
    <t>https://www.instagram.com/p/DQ89rmAjLo8/</t>
  </si>
  <si>
    <t>https://www.instagram.com/p/DMa3wnoCurB/</t>
  </si>
  <si>
    <t>https://www.instagram.com/p/DUQIHrrCOAy/</t>
  </si>
  <si>
    <t>https://www.instagram.com/p/DUsDkB3jLoU/</t>
  </si>
  <si>
    <t>https://www.instagram.com/p/DPPT3M2jH7e/</t>
  </si>
  <si>
    <t>https://www.instagram.com/p/DUQSaymDH2V/</t>
  </si>
  <si>
    <t>https://www.instagram.com/p/DQ6FwqDjOx7/</t>
  </si>
  <si>
    <t>https://www.instagram.com/p/DXW8uCGjBf4/</t>
  </si>
  <si>
    <t>https://www.instagram.com/p/DPLPrQPjM8T/</t>
  </si>
  <si>
    <t>https://www.instagram.com/p/DRwzzsYjI3s/</t>
  </si>
  <si>
    <t>https://www.instagram.com/p/DQrclmEDETf/</t>
  </si>
  <si>
    <t>https://www.instagram.com/p/DMF_qbFiU8I/</t>
  </si>
  <si>
    <t>https://www.instagram.com/p/DJWCerZiJH0/</t>
  </si>
  <si>
    <t>https://www.instagram.com/p/DVEEptujAPy/</t>
  </si>
  <si>
    <t>https://www.instagram.com/p/DL0Fx9noBfn/</t>
  </si>
  <si>
    <t>https://www.instagram.com/p/DNz7rsC0Npu/</t>
  </si>
  <si>
    <t>https://www.instagram.com/p/DV07m0oDDF4/</t>
  </si>
  <si>
    <t>https://www.instagram.com/reel/DMCUKXAofnI/</t>
  </si>
  <si>
    <t>https://www.instagram.com/p/DTzjJPVDC9Z/</t>
  </si>
  <si>
    <t>https://www.instagram.com/p/DTNppjQDC-O/</t>
  </si>
  <si>
    <t>https://www.instagram.com/p/DV3PD1IDJ3Z/</t>
  </si>
  <si>
    <t>https://www.instagram.com/p/DVs55kADByi/</t>
  </si>
  <si>
    <t>https://www.instagram.com/p/DNQ1If-Ij52/</t>
  </si>
  <si>
    <t>https://www.instagram.com/p/DWMN6sSCEdV/</t>
  </si>
  <si>
    <t>https://www.instagram.com/p/DQWvcotCH9x/</t>
  </si>
  <si>
    <t>https://www.instagram.com/reel/DMpC0t5imUt/</t>
  </si>
  <si>
    <t>https://www.instagram.com/p/DTvWaVYDDfy/</t>
  </si>
  <si>
    <t>https://www.instagram.com/reel/DMvThqZoC3i/</t>
  </si>
  <si>
    <t>https://www.instagram.com/p/DQ6_IhIjLJ4/</t>
  </si>
  <si>
    <t>https://www.instagram.com/p/DNsRYHcWBOm/</t>
  </si>
  <si>
    <t>https://www.instagram.com/p/DUzzbZIjAiU/</t>
  </si>
  <si>
    <t>https://www.instagram.com/p/DL_7Hvroomp/</t>
  </si>
  <si>
    <t>https://www.instagram.com/p/DJlrHm5OO7M/</t>
  </si>
  <si>
    <t>https://www.instagram.com/p/DNF6dCZoJ1B/</t>
  </si>
  <si>
    <t>https://www.instagram.com/reel/DP9F8agjOQq/</t>
  </si>
  <si>
    <t>https://www.instagram.com/p/DP0jq9vjNiH/</t>
  </si>
  <si>
    <t>https://www.instagram.com/p/DJOJaUtihGV/</t>
  </si>
  <si>
    <t>https://www.instagram.com/p/DVA0LkkjCvk/</t>
  </si>
  <si>
    <t>https://www.instagram.com/reel/DS0JEHtCJOK/</t>
  </si>
  <si>
    <t>https://www.instagram.com/p/DJXEyWVCO02/</t>
  </si>
  <si>
    <t>My innocent mind thought she worked out until i entered the comment section 😂</t>
  </si>
  <si>
    <t>poor enough that im still trying to find out what this is🙂</t>
  </si>
  <si>
    <t>anywhere you see this pot run , the price is 13,500 or so. I sold to my customers, I still dey do refunds</t>
  </si>
  <si>
    <t>Any man who proposes again after the first "NO", is banned from the men's community.</t>
  </si>
  <si>
    <t>I hate it when people are funnier than me!!!</t>
  </si>
  <si>
    <t>May intentional people meet intentional people</t>
  </si>
  <si>
    <t>Use common sense now bikonu🤦. That jean is adjustable by the side. Adjust it to give a better fitting to your body. It's very stylish. It's a very fine jean. Stylish outfits should be bought by stylish people pls.</t>
  </si>
  <si>
    <t>When second wife thinks na she be madam..What do men even want?</t>
  </si>
  <si>
    <t>That was an extremely confusing 2 seconds</t>
  </si>
  <si>
    <t>As a Nigerian I don’t think we can survive without rice</t>
  </si>
  <si>
    <t>How does it feel like to have a brother🥹💔🤲🏽</t>
  </si>
  <si>
    <t>Beauty is in the eye of the beholder they say😅</t>
  </si>
  <si>
    <t>i can’t believe i figured this out before reading the comments lol!!! add the numbers in the leaf. divide that total and the top number. that gives you the bottom number</t>
  </si>
  <si>
    <t xml:space="preserve">This Sugarcane sweet pass all the failed talking stages wey I experience this year </t>
  </si>
  <si>
    <t>He’s not holding a Nigerian 🇳🇬 passport though, that’s a red passport lol</t>
  </si>
  <si>
    <t>I’m at 27th glance and she still has 1 leg oh.</t>
  </si>
  <si>
    <t>Single people can't relate.. Single life is so peaceful</t>
  </si>
  <si>
    <t>Ayra Starr and Tyla 😂😂</t>
  </si>
  <si>
    <t>What is a man like that doing on a show like this? If you're looking for a cool headed lady, that show is the last place to check</t>
  </si>
  <si>
    <t>She shouldn’t be disciplining the kid anyway. My sister tries to discipline my kid we are going to fight. Get me, let me know. Unless you are babysitting and I’m not around you have no right to do anything. Even then if you hit my child, you’ll never see her again. Thank you.</t>
  </si>
  <si>
    <t xml:space="preserve">And it’s even goddess braids …you are lucky she didn’t ask you to do frog jump </t>
  </si>
  <si>
    <t>Funny thing is that this may be the only guy that has ever shown her true love</t>
  </si>
  <si>
    <t>My son got his first iPhone 11promax at age 10 and my daughter at age 6, they don't use any SM at all, they have scheduled time of use on it... I love when parents give their children luxury life with controls</t>
  </si>
  <si>
    <t>The only difference is the fabric used but the carpenter is awesome mehn..</t>
  </si>
  <si>
    <t>Invest in high quality stainless pots, not only are they good health-wise, they also stand the test of time so you won’t be buying pot every two market days</t>
  </si>
  <si>
    <t>Na only am know wetin him eye see b4 e make money ...if e reach ur turn mk u dey humble</t>
  </si>
  <si>
    <t xml:space="preserve">While the flat roof delivers a modern appearance, its minimal slope increases the risk of water ponding and leakage over time. The hip roof, with its sloping sides, promotes efficient drainage, improved structural stability, and better performance in adverse weather conditions , with these few points of mine, I think the hip is better ,but I love the flat </t>
  </si>
  <si>
    <t>I hope this lady is in church today doing special thanksgiving. Because the way GOD LOVES HER EHNNNN</t>
  </si>
  <si>
    <t xml:space="preserve">He will be called intentional man today and mummy’s boy tomorrow. One wrong move and the narrative changes </t>
  </si>
  <si>
    <t>Long Distance Relationship can work perfectly so long the 4 of you understands each other</t>
  </si>
  <si>
    <t>You guys I almost got motivated🤣</t>
  </si>
  <si>
    <t>Am I the only one in this world who doesn’t like rice??</t>
  </si>
  <si>
    <t>My bestie got pregnant, she hadn't told me yet at the time, but guess what? She came to tell me she was pregnant in my dreams😂😂😂, I woke up and called the werey, she confirmed it. I shouted, I cried but unfortunately I lost her after childbirth. I haven't recovered 😢</t>
  </si>
  <si>
    <t>I swallowed a nickel, I suffered alone cause i was not about to tell my granny, i put a coin in my mouth. It either came out or it’s still there.</t>
  </si>
  <si>
    <t>Nepo is short for nepotism o, this one is just cruise meaning. If you like when they ask you outside you answer Never experienced poverty</t>
  </si>
  <si>
    <t xml:space="preserve">From a person that had a opportunity to live solo with her dad &amp; solo with her mom living with my dad was the best experience I could have had he did everything a mom would have done &amp; I want put in any harm around him or his friends best experience ever I love my Dad father so much he was a real 1 </t>
  </si>
  <si>
    <t xml:space="preserve">Let's switch roles for a moment.. What if it was a big brother that left this same substance and his little sister picked and ate it. Now this same big brother recorded his vulnerable little sister and posted for the world to see. 😂😂 Do you know how many ring light would be coming on by now??? </t>
  </si>
  <si>
    <t>Please lock your dad inside it’s enough!</t>
  </si>
  <si>
    <t>From Justin bieber to Papa Ajasco</t>
  </si>
  <si>
    <t>Love is sweet when when watch it online 😍</t>
  </si>
  <si>
    <t xml:space="preserve">Story never happened but sharing it in itself even worries me </t>
  </si>
  <si>
    <t>She’s in the trenches to meet her true love 😂</t>
  </si>
  <si>
    <t>I remember for Abeokuta days for Funaab (when it was UNAAB), that shawa n kote fish wey dem nor clean e inside finish with a touch of stach fried in deep brown ororo that has not been changed for a week. Topped with better garri ijebu wey no Dey wu, cold pure water wey get degree and cowbell sachet. Oh my days</t>
  </si>
  <si>
    <t>That’s how they start … is this even funny ????</t>
  </si>
  <si>
    <t>Thought he loved you for you 🙂 you pulled the worst form of cheating on the boy and you'd expect him to react like its cool?</t>
  </si>
  <si>
    <t>Whether it lasts or not, a fresh haircut is a man’s makeup, if only they knew</t>
  </si>
  <si>
    <t xml:space="preserve">If the owner dey shout ‘is me o’ 🤣 wetin visitor wan tell am ? ‘is me o, your owner’s friend o </t>
  </si>
  <si>
    <t xml:space="preserve">I senior both husband and wife and I’m still here drinking caprisonne in my daddy’s house. 😂😂😂 ok ooo. You people should give me till next week Saturday </t>
  </si>
  <si>
    <t>I just have one genuine question, why do people date those they know they won’t marry? Nawa oh</t>
  </si>
  <si>
    <t>Abeg which colour of cloth we go wear the day Trump go come ?</t>
  </si>
  <si>
    <t>These days , we don’t even know who’s pregnant or who’s bloated</t>
  </si>
  <si>
    <t>As a short sighted woman 😂this is so real</t>
  </si>
  <si>
    <t>The mosquitoes needed to sip and paint too… we can see their artwork 😍 where’s yours?</t>
  </si>
  <si>
    <t>You make 21 million every month and you are walking around. The man go stop you inside car if to say you dey drive?</t>
  </si>
  <si>
    <t>entertainment news</t>
  </si>
  <si>
    <t>They gave you the TOUCH to become more LIT 🔥 in English 😂</t>
  </si>
  <si>
    <t xml:space="preserve">A lot of women are married to the weapon former against them, God forbid bad thing </t>
  </si>
  <si>
    <t>How do people eat boiled chicken???</t>
  </si>
  <si>
    <t>Is it me or the ring is on the middle finger?</t>
  </si>
  <si>
    <t>Owner go just dey mutter “thank you Jesus”</t>
  </si>
  <si>
    <t>This is not a journey you should do with a yeye man o!</t>
  </si>
  <si>
    <t>Audacity to be texting a married man like y’all have business together</t>
  </si>
  <si>
    <t>permalink</t>
  </si>
  <si>
    <t>07/17/2025</t>
  </si>
  <si>
    <t>08/20/2025</t>
  </si>
  <si>
    <t xml:space="preserve">07/31/2025 </t>
  </si>
  <si>
    <t xml:space="preserve">12/15/2025 </t>
  </si>
  <si>
    <t xml:space="preserve">07/27/2025 </t>
  </si>
  <si>
    <t xml:space="preserve">10/23/2025 </t>
  </si>
  <si>
    <t xml:space="preserve">10/17/2025 </t>
  </si>
  <si>
    <t>09/24/2025</t>
  </si>
  <si>
    <t>07/21/2025</t>
  </si>
  <si>
    <t>09/30/2025</t>
  </si>
  <si>
    <t>12/31/2025</t>
  </si>
  <si>
    <t>07/24/2025</t>
  </si>
  <si>
    <t>07/22/2025</t>
  </si>
  <si>
    <t>04/20/2026</t>
  </si>
  <si>
    <t>09/28/2025</t>
  </si>
  <si>
    <t>07/14/2025</t>
  </si>
  <si>
    <t>02/22/2026</t>
  </si>
  <si>
    <t>08/26/2025</t>
  </si>
  <si>
    <t>03/13/2026</t>
  </si>
  <si>
    <t>01/21/2026</t>
  </si>
  <si>
    <t>03/14/2026</t>
  </si>
  <si>
    <t>03/22/2026</t>
  </si>
  <si>
    <t>10/28/2025</t>
  </si>
  <si>
    <t>07/27/2025</t>
  </si>
  <si>
    <t>01/20/2026</t>
  </si>
  <si>
    <t>07/30/2025</t>
  </si>
  <si>
    <t>08/23/2025</t>
  </si>
  <si>
    <t>02/15/2026</t>
  </si>
  <si>
    <t>05/13/2025</t>
  </si>
  <si>
    <t>10/18/2025</t>
  </si>
  <si>
    <t>10/15/2025</t>
  </si>
  <si>
    <t>02/21/2026</t>
  </si>
  <si>
    <t>12/28/2025</t>
  </si>
  <si>
    <t>Photos</t>
  </si>
  <si>
    <t>Links</t>
  </si>
  <si>
    <t>other_clicks</t>
  </si>
  <si>
    <t>"Go and meet your agemates" — 22-year-old lady issues a PSA to 30+ men interested in her.</t>
  </si>
  <si>
    <t>"Nobody gets a BBL to stay in marriage" – X user says Teddy A made a mistake letting BamBam get a BBL</t>
  </si>
  <si>
    <t>Man shares his thoughts on ladies calling each other “twinnie”.</t>
  </si>
  <si>
    <t>"I met my partner because of N500" – Lady shares her interesting love story</t>
  </si>
  <si>
    <t>"I big pass your papa, wetin you wan do?" — Wizkid slams Seun Kuti for insulting his fans 'FC'.</t>
  </si>
  <si>
    <t>Lady tells her gender what to say in place of "all men are che3ters",  when their man che@ts</t>
  </si>
  <si>
    <t>You just know!😃😅</t>
  </si>
  <si>
    <t>"As I transition into a young woman, I am respectfully asking Davido for a DNA test to establish my identity" — Anu Adeleke appeals.</t>
  </si>
  <si>
    <t>"You've crossed the line" - Singer Peter Okoye slams an X user over a vile post about his late mum.</t>
  </si>
  <si>
    <t>Man responds to a lady's suggestive remark about him.</t>
  </si>
  <si>
    <t>Lady reveals the outfit her sister wore that made her fiance block her and ask her not to return to his place</t>
  </si>
  <si>
    <t>"Dm your account" – Billionaire's son Kiddwaya tells an X-user for giving him "a p00r person advice"</t>
  </si>
  <si>
    <t>"If you haven't rolled with fr@ud boys, there's a side to women you will never see" – X-users say</t>
  </si>
  <si>
    <t>"Alakoba!”— Corps member shares chat with his student who has a crush on him.</t>
  </si>
  <si>
    <t>Bride price refunded after a man b3@t up his wife and mother-in-law who came for omugwo.</t>
  </si>
  <si>
    <t>Man shares his wife's reaction after he took a photo with a female co-worker</t>
  </si>
  <si>
    <t>Twitter men are tweeting like women and it’s hilarious😭😭😂</t>
  </si>
  <si>
    <t>Allow🙏😭😂</t>
  </si>
  <si>
    <t>Between Simisanya and Femi Dapson after a lady asked what’s next after their society wedding.</t>
  </si>
  <si>
    <t>Bola Oyinadejobi, husband of Yoruba Nollywood actress Toyosi Adesanya, has opened up about the harrowing journey the couple went through before welcoming their first child, revealing that his wife underwent four surgeries in 2023 and nearly lost her life during the last one.
Oyinadejobi made the disclosure while giving a speech at the naming ceremony of their newborn daughter, which held recently. Speaking with visible emotion, he said God had been faithful through a season that many people knew nothing about.
"God is so kind. He shut the mouths of hypocrisy when they thought it was over. I give glory to God because the journey was not easy. Many didn't know that in 2023, my wife underwent four surgeries and almost died during the last one," he said.</t>
  </si>
  <si>
    <t>Lady gives sarcastic reply to man who said "women think men are easy to get until they're 29"</t>
  </si>
  <si>
    <t>My mom is sick, and it’s not something money can solve. I’m saying this because tomorrow someone might video her and use it against me. My dad has been absent, and I’ve been the one searching for him - Jarvis opens up.</t>
  </si>
  <si>
    <t>"On what grounds can Mirabel be pers3cuted for?" – X-user asks</t>
  </si>
  <si>
    <t>UNILAG graduate honours her late dad on her convocation day.</t>
  </si>
  <si>
    <t>POP is luxury in Nigeria😂😂</t>
  </si>
  <si>
    <t>Real😅</t>
  </si>
  <si>
    <t>Congratulations sis 🥹</t>
  </si>
  <si>
    <t>"Ma, make I give you he@d?" – Woman cautions on jokes that one shouldn't condone as a married woman</t>
  </si>
  <si>
    <t>Actor Ibrahim Suleiman laments the power supply situation in Nigeria.</t>
  </si>
  <si>
    <t>This thing still scares me😭</t>
  </si>
  <si>
    <t>Nigerian lady turns heads with her unique fashion sense; says her style is archivecore, not alte.</t>
  </si>
  <si>
    <t>Pastors Jerry Eze and Nathaniel Bassey react to the k*lling of over 40 people in Jos.</t>
  </si>
  <si>
    <t>Man shares his mom's reaction after he made Greek yogurt by himself.</t>
  </si>
  <si>
    <t>Doctor recounts how patient who was warned not to eat before surgery, convinced his daughter to smuggle in Eba and Egusi soup</t>
  </si>
  <si>
    <t>Lady shares what a man did after his fiancée got paralyzed following an accident they had while he was drinking</t>
  </si>
  <si>
    <t>😂😂</t>
  </si>
  <si>
    <t>Davido thought he picked up a prost!t*te but I was a waitress. I come from a good home - Anu Adeleke's mom speaks out.</t>
  </si>
  <si>
    <t>She looks 16, yeah?</t>
  </si>
  <si>
    <t>"God never bless me reach?" — CharlyBoy celebrates becoming a great-grandfather.</t>
  </si>
  <si>
    <t>Man lur3s wife back to Nigeria, returns her dowry and fly back to Australia after she insisted on surrogacy</t>
  </si>
  <si>
    <t>Lady shares what became of her class governor who rushed to marry during NYSC despite not being job secured</t>
  </si>
  <si>
    <t>Anthony Joshua poses a question about religion.</t>
  </si>
  <si>
    <t>"Christians should leave Jos" – Actor, Zubby Michael opines</t>
  </si>
  <si>
    <t>"Na me one buy am before?" — Reality TV star, Tacha tackles a follower over his comment about her dream car.</t>
  </si>
  <si>
    <t>"I felt like cry!ng that night" – Woman says as she shares an experience with her husband following a tweet of a man pushing a bus in the rain</t>
  </si>
  <si>
    <t>Real😂😂</t>
  </si>
  <si>
    <t>Sameee😭😂</t>
  </si>
  <si>
    <t>Man replies X-user who said a mother can sell her jewelry and land to raise her children, unlike a father</t>
  </si>
  <si>
    <t>Man shares encounter he had with a friendly neighbourhood senior man on his way to buy something</t>
  </si>
  <si>
    <t>You won't even know a 30yrs old man when you see him except he tell you his age, unless he is looking older than his age. These days the so called 20s are looking older than the 30s</t>
  </si>
  <si>
    <t>And who told him she's got BBL?
Every woman with nice curves, hips and butts had done BBL in an average Man's mind.</t>
  </si>
  <si>
    <t xml:space="preserve">Other twins always look busy and serious for no good reason that fail even to talk to them </t>
  </si>
  <si>
    <t xml:space="preserve">I met my partner when i embarrassed her infront of my ex cause i called for departmental meeting and she came late. Person wey dey year 1, na me wey be final year dey call for meeting, you go dey read book, 😂 In my words " na only you wan carry first class? " Aunty was so embarrassed ehn and hated me.
Well, i didn't know many years later, i would still enter her dm to toast her and she agreed ooo </t>
  </si>
  <si>
    <t>I love the fact that Wizkid stood up for his fans👊👍🙌. Meaning you can troll him or drag him anyhow he won't answer but if you near "FC" you go collect wotowoto.</t>
  </si>
  <si>
    <t>You better add specific with whom he cheated as well don't just be him alone if she was sending you details about him being lovey dovey with her 😂. But if she knew but if not. Girl don't do it ok</t>
  </si>
  <si>
    <t>There is different between fashion designer and fashion destroyer this was made by fashion designer</t>
  </si>
  <si>
    <t>2face and Davido really took this statement “go into the world and multiply” too serious.</t>
  </si>
  <si>
    <t>Wahala be like private part, you go shave am for private e go come dey scratch you for public</t>
  </si>
  <si>
    <t>Do men now cook stew with out frying the tomatoes??</t>
  </si>
  <si>
    <t>Principled man like this are very few in this world... We're just five, me and this guy with three other people</t>
  </si>
  <si>
    <t>Na this kin thing I go dey do when I rich,that's if temu order go dey gree me....I go just come online trigger people, all of them go begin insult me,the one wey choose to stand by me no matter my yeyeness I go load some milimili</t>
  </si>
  <si>
    <t>This made me remember my course mate who she and her roommate like to sleep naked.
One day, they woke up and saw that they were robbed, thieves stole their phones and laptops but their main concern was if they took pictures of them</t>
  </si>
  <si>
    <t>"Please don't sleep naked" – Lady tells her gender why</t>
  </si>
  <si>
    <t>In the environment you were, what type or kind of girls were you expecting to meet?</t>
  </si>
  <si>
    <t>But a secondary school student can not have this kind of accurate writing and Concord agreement na. Na one learned person get the message</t>
  </si>
  <si>
    <t>As a mother train your children to love and care for one another</t>
  </si>
  <si>
    <t>She asked a valid question we shouldn't ignore and funny enough the man didn't respond to it. Meaning, he actually does the same questioning as well.</t>
  </si>
  <si>
    <t xml:space="preserve">This is the best moment of life I have been waiting for 🤣🤣🤣🤣 I appreciate all Gen Z men that brought this up, if we can't remind them of staying in their lane and they agree, then we switch lanes too 🤣🤣 aswear this is perfect, have been trying to raise my kid like this, delusions are the only weapon to defeating delusions </t>
  </si>
  <si>
    <t>Difference in Lens and the distance between foreground (groom) and subject (bride)</t>
  </si>
  <si>
    <t xml:space="preserve">That is why as a single person, I dey mind my business...make all these married people no come spit pepper for my eyes </t>
  </si>
  <si>
    <t>I always pity t hose mockers oo because if they go through one tenths of what waiting mothers went through, they can't survive it, yet they mock people for their challenges</t>
  </si>
  <si>
    <t>Every hundred men gathered somewhere, na only two be husband material.</t>
  </si>
  <si>
    <t>Let those miracle pastors and Mallams come to assist this innocent lady to heal her mother....
Let her come out to tell us the health challenge her mother have,so that we can help if it is spiritually or medically
Regards</t>
  </si>
  <si>
    <t>Mirabel will ask God for cheese steak and he will give her okpa Enugu Amen</t>
  </si>
  <si>
    <t>The lady should be a great grand child or grand child. Abi baba born reach old age ni?</t>
  </si>
  <si>
    <t>Just get toddler for your house fess, then come back let's check something.
You think most of us who hung ours didn't prefer it on the stand?</t>
  </si>
  <si>
    <t>My husband can do this, even with 6yrs and 4yrs old, most times when he's around, he will snap the children and send it to me, while I'm in the office, with captions like.... See the cute children you gave to me, they won't let me drink water and drop cup</t>
  </si>
  <si>
    <t>"Not someone cleaning my chicken"
It's more about the state of the man giving the joke, than the morals.
If the joke came from someone who wasn't "cleaning your chicken" probably a Senator or a billionaire, you'd probably smile like a fool, and assume it's a joke.
Mmm, I understand Sha.
Peace.</t>
  </si>
  <si>
    <t>This thing shock our caretaker 😁😁😁 he sleep from 12pm till 6pm
Na time to time will day check him body maybe his still day breath because as the thing shock him like this he just sleep of after some second's 😆😆😆😆😆
As he wakes up like this he Carry am throw away nii\</t>
  </si>
  <si>
    <t>Congratulations Ma 🎊🎉
Don’t relax oo!, You just entered Warfare. Double up Whatever brought the results✌️</t>
  </si>
  <si>
    <t xml:space="preserve">They will you 3bags of rice and that will solve the light issues </t>
  </si>
  <si>
    <t>Nne! If you off the waistcoat your style will still be on point. The waistcoat will match one of my gray tailored pants. Bikonu</t>
  </si>
  <si>
    <t>They have prayed and declared the will of God ovee Jos. 👀 Those shouting na prayer we go chop. Abeg you can volunteer to be used by God to go an protect the lives of christians there. Una no know how power the words which a man of God speak. Go and ask Elijah who spoke over a nation, nor Moses who spoke over Egypt.</t>
  </si>
  <si>
    <t>I don’t know what you guys want fr😤if he can cook wahala if he can’t cook wahala
Omo if you can cook come and marry me😂😮‍💨
Hot akara every Sunday morning no bad ❤️😂</t>
  </si>
  <si>
    <t>I remember a patient eating abacha 30 minutes to his surgery, thank God he was caught when he was eating it. His mother gave him the abacha so he will have strength for the surgery</t>
  </si>
  <si>
    <t>Your family doesn't have cars? Men?.or mad people ? Or area boys??</t>
  </si>
  <si>
    <t>Na rich kids usually choose simple careers
Poor man pikin go dey choose Doctor, Lawyer, Engineer, Astronaut and so on 😂</t>
  </si>
  <si>
    <t>Is DNA test not done on the Lab?
Abi this talk of we didn't go to hospital, we went to Lab..
Where are tests carried out abeg?
Abi is it different in naija?</t>
  </si>
  <si>
    <t>I am the only one who looks older than her age. Even when I was just 16, people would think I was 30. Now that I am in my late 30s, they still think I'm like 50. The beauty of it all is that I love how I am older than everyone.</t>
  </si>
  <si>
    <t>Great grandson come resemble his fathers grand father</t>
  </si>
  <si>
    <t>Omo, I still remember my ex girlfriend then. She's a dancer and she's good at it. So I told her, we were gonna get married some day and her reply, even if get married that's she's not going to get pregnant for the first 4years.. I said why, she said she was afraid of been pregnant and she's afraid of Been in Labour room. Omo, I jejeli looked for ways to break up.</t>
  </si>
  <si>
    <t>At least they have children..
What remains is how to train them....
With there certificate... there's still hope...
The road might be rough...
Madam we all have a story to tell...
~Thank you</t>
  </si>
  <si>
    <t>Na now i know wetin de do Anthony Joshua.. he's really born again.</t>
  </si>
  <si>
    <t>Go where, that's our father's land we go no where bruh</t>
  </si>
  <si>
    <t xml:space="preserve">As long as simps exist, nothing wey no dey possible. Know this and know peace </t>
  </si>
  <si>
    <t>That was how I went to akpakpava 9years ago to go and withdraw money from a wema bank. When I got there, the first person I saw was my handsome husband in his painting clothes. See the way I screamed my Daddyyyyyyyy and ran to go and hug him eeeehhhh... He smiled at me and held me like a little girl who ran to meet her father. I was so happy to see him at work. I haven't bumped on him when he's working before.</t>
  </si>
  <si>
    <t>How can I buy a house built on a plot of land with my neighbor's house very close to mine for 1.3b?
Any building worth such amount should be sitting on 6 plots of land with table tennis court, lawn, pool and garden with enough open space. And the building must be far from the gate</t>
  </si>
  <si>
    <t>Na so last month I try do potion control, I say I'll stay straight 1 week without eating swallow, as I try do reach weekend na so my blood stop to flow well, I wasn't breathing well again😩...Omo!! na so I rush do better swallow and okra with one fine idoma okpehe....Omo! Na who dey alive dey watch weight oh!
Swallow is life.</t>
  </si>
  <si>
    <t>Some years back, I sold my phone twice. First to buy meds for my sick daughter, second was to buy a little food stuff for my family. Yet I was tagged irresponsible. Thank God I am way better off even though we are no longer together.</t>
  </si>
  <si>
    <t>Wetin una no understand be say most of dis egbon Adugbo nice pass all dis one wey una dey talk. Dem better pass a lot of innocent people showing love waiting for return. As long as u give him whenever he asks, he gat covered anywhere anytime. Most of dem get money pass u if u no know. No fear my sister him don know say u no guide like dat him Dey wit u all d time</t>
  </si>
  <si>
    <t>tweet_text_or_headline</t>
  </si>
  <si>
    <t>impressions</t>
  </si>
  <si>
    <t>engagements</t>
  </si>
  <si>
    <t>bookmarks</t>
  </si>
  <si>
    <t>replies</t>
  </si>
  <si>
    <t>reposts</t>
  </si>
  <si>
    <t>sample_reply</t>
  </si>
  <si>
    <t>Will Smith's best friend and former assistant, Brother Bilaal, says he walked in on Duane Martin having anal sex with Will Smith in new explosive interview.</t>
  </si>
  <si>
    <t>video</t>
  </si>
  <si>
    <t>profile_visits</t>
  </si>
  <si>
    <t>Say this after me, “I will never be poor”</t>
  </si>
  <si>
    <t>3 easiest way to be wealthy:
1. Inheritance
2. Political affiliation
3. Marriage to Someone in either category 1 or 2.</t>
  </si>
  <si>
    <t>Everything I know about this family is against my will</t>
  </si>
  <si>
    <t>VeryDarkMan finally apologizes to Yhemo Lee.</t>
  </si>
  <si>
    <t xml:space="preserve">Viral </t>
  </si>
  <si>
    <t>Nigerians no dey ever calm down. Many of you didn’t watch the full video… una just dey comment “he finally fold”. Watch the full video fess! The guy no dey apologize</t>
  </si>
  <si>
    <t>The evolution of man. AI generated 🤌</t>
  </si>
  <si>
    <t>Man was created. Did not evolve</t>
  </si>
  <si>
    <t>Singer Rihanna and ASAP Rocky name their second son, Riot.</t>
  </si>
  <si>
    <t>photo</t>
  </si>
  <si>
    <t>Next should be Chaos</t>
  </si>
  <si>
    <t>Drake poses with a collection of bras thrown at him on stage during his concerts.</t>
  </si>
  <si>
    <t>All of them were thrown by people’s girlfriends and future wives.</t>
  </si>
  <si>
    <t>BBL War: Who has the best and worst BBL surgery in Nigeria?</t>
  </si>
  <si>
    <t>text</t>
  </si>
  <si>
    <t>Best BBL got to be Toke Makinwa then worst is that girl with K leg that links up couples on social media</t>
  </si>
  <si>
    <t>How Asake and his girlfriend stepped out last night for an event.</t>
  </si>
  <si>
    <t>Zero steeze
He should better go hire a stylist and stop dressing like a herbalist</t>
  </si>
  <si>
    <t>This is the level we have gotten to, it's so bad that instead of separating fights, we choose to turn on our cameras, record, and post all for trend and traffic.</t>
  </si>
  <si>
    <t>What’s going on here?</t>
  </si>
  <si>
    <t>Guess the country that owns this dish😂😂</t>
  </si>
  <si>
    <t>They didn't Cedis coming 😭</t>
  </si>
  <si>
    <t>“I went to a club one day, one guy just came to me and said ‘can I spend the night with you for five million naira?’. 
I look am, looked at my manager, I say call your account make I do you N5m make you dey go house” — Phyna.</t>
  </si>
  <si>
    <t>I don’t expect her to come out and claim she followed the guy home, but we all know the case is opposite of what she said</t>
  </si>
  <si>
    <t>Seyi Makinde presents report on Ibadan explosion to Tinubu.</t>
  </si>
  <si>
    <t>I don’t understand… is it a certificate of competence or a handover… Abi nah project defense?… we are talking about people that lost lives and properties, what is the photo for exactly? Will it bring back the dead or rebuild houses??
Somebody should help me understand</t>
  </si>
  <si>
    <t>‘No gree for anybody’ slogan can plunge Nigeria into crisis — Nigeria Police warns.</t>
  </si>
  <si>
    <t>The Nigerian police can actually be the most useless force have ever seen..</t>
  </si>
  <si>
    <t>IShowSpeed gets a massage from 10 women after finishing his 6 hour stream in Ghana.</t>
  </si>
  <si>
    <t>10 people massaging one person simultaneously is not a massage, that’s a pit stop. My man is getting his oil changed and tires rotated at the same time.</t>
  </si>
  <si>
    <t>“If you give me 10,000 dollars, I will be happy” — Nigeria strongest man tells IShowSpeed.</t>
  </si>
  <si>
    <t xml:space="preserve">Nigerian's and the GIVE ME mentality </t>
  </si>
  <si>
    <t>BREAKING: Autopsy reveals drug reaction as possible cause of Mohbad’s dëath.</t>
  </si>
  <si>
    <t>Victor Osimhen lambastes Finidi George for singling him out for criticism.</t>
  </si>
  <si>
    <t>Sports</t>
  </si>
  <si>
    <t>Victor oshimhen na very chilled person, wetin make am do this video you go know say finidi George mess up</t>
  </si>
  <si>
    <t>We all know this is a lie, the are hiding something that's why it took this long. God will fight for Mohbad!!</t>
  </si>
  <si>
    <t>Nigerian-born boxer killed by ‘multiple gunshots from neighbour’ in US.</t>
  </si>
  <si>
    <t>Have you all seen why Nigeria is a good country 
You won't see anyone behaving like this in this beautiful country 
I suggest everyone come back home to make this country great again</t>
  </si>
  <si>
    <t>Brooo,you must be high on something. How can you compare Messi to Ronaldo? Messi no be anybody mate in popularity,football,riches,he is the greatest</t>
  </si>
  <si>
    <t>Who’s more popular?</t>
  </si>
  <si>
    <t>What does this mean?</t>
  </si>
  <si>
    <t>I found this out in my Mid-20s. Was hanging out with a girl I was dating at the time n playing with her hand n did something like this. She hounded me all night and I was confused asf.</t>
  </si>
  <si>
    <t>Brag about your University.</t>
  </si>
  <si>
    <t>Lasu, we produce celebrities steady</t>
  </si>
  <si>
    <t>“I made my first ₦1 million in 300 level in 2014. I made my first ₦100 million in 2020. Everyone made a lot of money that year.” — Yhemolee.</t>
  </si>
  <si>
    <t>2020 was really "that year"!</t>
  </si>
  <si>
    <t>This MF is isn't light skinned he is bleaching</t>
  </si>
  <si>
    <t>Light skinned men are so hot.</t>
  </si>
  <si>
    <t>Michael Olise was the only player without wearing the Championship T-shirt.</t>
  </si>
  <si>
    <t>All these nonchalant attitudes and ppl dey laff, na becoz he Dey form o, make he drop form fess</t>
  </si>
  <si>
    <t>man this is not a flex 
this is lack of sexual discipline</t>
  </si>
  <si>
    <t>Ray J says he has slept with over 11,500 women.</t>
  </si>
  <si>
    <t>“You have no light at the airport, and I have to fly back within the next 10 minutes. To the victims, there's nothing I can give you, whether it's money in millions, but console you and promise you that this experience will not repeat itself." 
— Tinubu tells bereaved families in Jos.</t>
  </si>
  <si>
    <t>news</t>
  </si>
  <si>
    <t>sports</t>
  </si>
  <si>
    <t>"you have no light at the airport". Yes digest that . That is the words coming out from the mouth of the president of this country . 
If this man win 2 state come 2027, Almighty Allah suppose to wipe us from the surface of the earth</t>
  </si>
  <si>
    <t>BBNaija star Phyna shares her new look three days post-BBL surgery.</t>
  </si>
  <si>
    <t>I never knew a time will come where young ladies will be so proud to show themselves online wearing diapers</t>
  </si>
  <si>
    <t>Tiwa Savage spotted in the UK State dinner in honor of Tinubu the entire the Nigerian delegation.</t>
  </si>
  <si>
    <t>Nothing really consign our celebrities with bad governance as long as dem still pay them</t>
  </si>
  <si>
    <t>“If they like, they should drag me that I’m hiding my son's face. I will hide his face, he’s my son. When I’m ready, when I feel like I’m okay, I will reveal his face." 
— Priscilla Ojo</t>
  </si>
  <si>
    <t>What’s the point of saying you won’t show your son’s face when you could just stay silent about it?</t>
  </si>
  <si>
    <t>She has eye contact lens on, eyebrows clearly drawn, and with artificial eyelashes. These are makeups.</t>
  </si>
  <si>
    <t>Actress Moyo Lawal looking flawless without makeup.</t>
  </si>
  <si>
    <t>Dimple surgery takes over 2026 as the latest cosmetic trend, it can cost up to $3,500.</t>
  </si>
  <si>
    <t>These people are just daft. The rule of thumb is that dimples don't appear when the face is on a resting mode. They look funny having holes on their cheeks, and it's self-inflicted</t>
  </si>
  <si>
    <t>"I hope they pick her someday cause this is cringe" – Cynthia Morgan says as she reacts to lady who said, "No one is safe when women rule"</t>
  </si>
  <si>
    <t>image</t>
  </si>
  <si>
    <t>I hope they pick her someday. Who will pick her? 
Exactly proving the lady’s point. Why will they pick her? For saying her truth?</t>
  </si>
  <si>
    <t xml:space="preserve">Temi Ajibade shares a vlog of how she celebrated her 30th birthday. </t>
  </si>
  <si>
    <t>Happy 30th, Temi!  Living that soft life in style</t>
  </si>
  <si>
    <t>Moment Asake gifted a young fan some dollars at an event.</t>
  </si>
  <si>
    <t>The girl mum be like “let me help you save it”</t>
  </si>
  <si>
    <t>“Our girls are sleeping with foreigners, they have to leave.”
— South African man weeps bitterly.</t>
  </si>
  <si>
    <t>These guys are the most laziest and the most entitled set of humans in Africa they should’ve stayed under colonial rule</t>
  </si>
  <si>
    <t>If Kidnappers Pick You Up, Give Them My Number. I Am Not God Sent If They Don’t Release You — Bishop Oyedepo</t>
  </si>
  <si>
    <t>Coming from someone that has armed men guarding him.</t>
  </si>
  <si>
    <t>Man spotted wearing a suit to write JAMB.</t>
  </si>
  <si>
    <t>He means business 😂</t>
  </si>
  <si>
    <t>"The life you want is hiding inside the work you avoid." - Goodluck Jonathan</t>
  </si>
  <si>
    <t>The one wen you avoid for 2015 nai put us for here so oh baba! The bloood wen you no want make dem spew dem don spew am x100 😩</t>
  </si>
  <si>
    <t>“Kilode, you want to buy America?” — Don Jazzy’s reaction after Habby Forex showed him his private wallet balance.</t>
  </si>
  <si>
    <t>Anytime I see habby😭I just dey vex like mad.
What you and Jeffrey together with kwakol and consummate traders did to me in 2023😂😂😭I no fit forget</t>
  </si>
  <si>
    <t>A day in the life of a corporate lady living in Ikorodu and working on the Island.</t>
  </si>
  <si>
    <t>This is not life! A very unhealthy way to live.</t>
  </si>
  <si>
    <t>Man replies lady who said "men hate accepting help from women"</t>
  </si>
  <si>
    <t>Every second that passes, there a man somewhere on this Earth paying a woman's bill but never post about it. Just let a woman pay your bills for once and watch her release a documentary</t>
  </si>
  <si>
    <t>"PDP was there for 16 years, this man has only been there for 3 years. Let’s cut him some slack" — Influencer Pamilerin defends President Tinubu.</t>
  </si>
  <si>
    <t>Pamilerin
 Oga, PDP 16 years vs one man 3 years? But APC wey you and your oga build don already do 11 full years (Buhari 8 + Tinubu 3). Your own restaurant for Surulere just died because landlord hike rent by 600% under this same economy; you no beg am for “some slack,” you just closed shop sharp sharp.</t>
  </si>
  <si>
    <t>"My husband is not funny. Why should he be in my content?" — Content creator Kiekie addresses questions about "hiding" her husband.</t>
  </si>
  <si>
    <t>Does she owe anybody her husband's presence ?
The way you lots are so interested in other people's personal life is so worrisome</t>
  </si>
  <si>
    <t>The moment Kidbaby pranked her husband Rybeena by saying area boys beat her up, just to see his reaction.</t>
  </si>
  <si>
    <t>The guy na very soft person😂😂 if na me i don hang up start to Dey call people around that place 😂😂</t>
  </si>
  <si>
    <t>She didn’t know he bought the car for her, so she asked him to return it.</t>
  </si>
  <si>
    <t>The car should still be returned. I will return the car.</t>
  </si>
  <si>
    <t>When Mr Eazi is angry with me, he sends me a long message instead of just talking about it when we’re in the same house - Temi Otedola.</t>
  </si>
  <si>
    <t>For love to work, one person need mumu</t>
  </si>
  <si>
    <t>Moment Timini kissed Bimbo Ademoye unexpectedly in public. 👀</t>
  </si>
  <si>
    <t>If you are dating or married to an actor, you’re not the only one getting perks of romance and marriage from them</t>
  </si>
  <si>
    <t>A Nigerian father and his son were denied access to a public place in South Africa by locals, despite presenting their legal identification and visa documents.</t>
  </si>
  <si>
    <t>For this to keep happening means their government is in support. It's a pity. These people don't know what they're doing. Time shall tell.</t>
  </si>
  <si>
    <t>"I don’t ever allow my life savings to go below ₦100 million. If anybody wants to die in the family.. You see that ₦100 million, I can never touch it. I tell them that my money can never go below ₦100 million. Sometimes when I need urgent money I’d  charge N3 million for music promotion so I don’t have to touch my money when it’s at ₦100 million" 
— Peller</t>
  </si>
  <si>
    <t>Stupid boy just told Jarvis he has 100m stashed somewhere.
When she twist that your left nipple, your account balance go change to 30mil.
Too much talking sinks a ship.</t>
  </si>
  <si>
    <t>"I’ve been a Babalawo for more than 18 years, but I hide it" — Singer 9ice reveals.</t>
  </si>
  <si>
    <t>Now I understand why he fell off. Dark powers will only invite darkness</t>
  </si>
  <si>
    <t>month_name</t>
  </si>
  <si>
    <t>website_adsense_ngn</t>
  </si>
  <si>
    <t>website_direct_ads_ngn</t>
  </si>
  <si>
    <t>facebook_branded_content_ngn</t>
  </si>
  <si>
    <t>instagram_sponsored_posts_ngn</t>
  </si>
  <si>
    <t>twitter_sponsored_tweets_ngn</t>
  </si>
  <si>
    <t>twitter_creator_revenue_ngn</t>
  </si>
  <si>
    <t>hosting_cdn_cost_ngn</t>
  </si>
  <si>
    <t>staff_salaries_cost_ngn</t>
  </si>
  <si>
    <t>tools_subscriptions_cost_ngn</t>
  </si>
  <si>
    <t>video_production_cost_ngn</t>
  </si>
  <si>
    <t>ngn_usd_rate</t>
  </si>
  <si>
    <t>total_revenue_ngn</t>
  </si>
  <si>
    <t>total_cost_ngn</t>
  </si>
  <si>
    <t>net_profit_ngn</t>
  </si>
  <si>
    <t>profit_margin_pct</t>
  </si>
  <si>
    <t>Jan</t>
  </si>
  <si>
    <t>Feb</t>
  </si>
  <si>
    <t>Mar</t>
  </si>
  <si>
    <t>Apr</t>
  </si>
  <si>
    <t>May</t>
  </si>
  <si>
    <t>Jun</t>
  </si>
  <si>
    <t>Jul</t>
  </si>
  <si>
    <t>Aug</t>
  </si>
  <si>
    <t>Sep</t>
  </si>
  <si>
    <t>Oct</t>
  </si>
  <si>
    <t>Nov</t>
  </si>
  <si>
    <t>Dec</t>
  </si>
  <si>
    <t>other_income</t>
  </si>
  <si>
    <t>other_income_total</t>
  </si>
  <si>
    <t>website_direct_ad_ngn</t>
  </si>
  <si>
    <t>website_adsense_usd</t>
  </si>
  <si>
    <t>office_rent</t>
  </si>
  <si>
    <t>office_supplies</t>
  </si>
  <si>
    <t>utilities_electricity_and_other_costs_ngn</t>
  </si>
  <si>
    <t>internet</t>
  </si>
  <si>
    <t>other_costs</t>
  </si>
  <si>
    <t>instagram_views</t>
  </si>
  <si>
    <t>instagram_reach</t>
  </si>
  <si>
    <t>instagram_content_interactions</t>
  </si>
  <si>
    <t>Instagram_visits</t>
  </si>
  <si>
    <t>Instagram_follows</t>
  </si>
  <si>
    <t>Date</t>
  </si>
  <si>
    <t>website_views</t>
  </si>
  <si>
    <t>website_active_users</t>
  </si>
  <si>
    <t>website_sessions</t>
  </si>
  <si>
    <t>website_avg_engagement_time_sec</t>
  </si>
  <si>
    <t>facebook_visits</t>
  </si>
  <si>
    <t>facebook_follows</t>
  </si>
  <si>
    <t>facebook_content_interactions</t>
  </si>
  <si>
    <t>x_impressions</t>
  </si>
  <si>
    <t>x_likes</t>
  </si>
  <si>
    <t>x_engagements</t>
  </si>
  <si>
    <t>x_shares</t>
  </si>
  <si>
    <t>x_bookmarks</t>
  </si>
  <si>
    <t>x_new_follows</t>
  </si>
  <si>
    <t>business</t>
  </si>
  <si>
    <t>3210037000004647636</t>
  </si>
  <si>
    <t>3210037000005263001</t>
  </si>
  <si>
    <t>3210037000005602062</t>
  </si>
  <si>
    <t>3210037000004594097</t>
  </si>
  <si>
    <t>3210037000004683175</t>
  </si>
  <si>
    <t>3210037000001528001</t>
  </si>
  <si>
    <t>3210037000000998085</t>
  </si>
  <si>
    <t>3210037000003687001</t>
  </si>
  <si>
    <t>3210037000001423179</t>
  </si>
  <si>
    <t>3210037000001979001</t>
  </si>
  <si>
    <t>3210037000001116001</t>
  </si>
  <si>
    <t>3210037000000640044</t>
  </si>
  <si>
    <t>3210037000000976046</t>
  </si>
  <si>
    <t>3210037000004586001</t>
  </si>
  <si>
    <t>3210037000002347133</t>
  </si>
  <si>
    <t>3210037000002820001</t>
  </si>
  <si>
    <t>3210037000000959074</t>
  </si>
  <si>
    <t>3210037000002893089</t>
  </si>
  <si>
    <t>3210037000000388003</t>
  </si>
  <si>
    <t>3210037000001847073</t>
  </si>
  <si>
    <t>3210037000003479089</t>
  </si>
  <si>
    <t>3210037000004211005</t>
  </si>
  <si>
    <t>3210037000001620045</t>
  </si>
  <si>
    <t>3210037000000796033</t>
  </si>
  <si>
    <t>3210037000004105050</t>
  </si>
  <si>
    <t>3210037000000874005</t>
  </si>
  <si>
    <t>3210037000001113001</t>
  </si>
  <si>
    <t>3210037000001168089</t>
  </si>
  <si>
    <t>3210037000003122003</t>
  </si>
  <si>
    <t>3210037000002954001</t>
  </si>
  <si>
    <t>3210037000001970158</t>
  </si>
  <si>
    <t>3210037000001694087</t>
  </si>
  <si>
    <t>3210037000000938001</t>
  </si>
  <si>
    <t>3210037000001680191</t>
  </si>
  <si>
    <t>3210037000001699001</t>
  </si>
  <si>
    <t>3210037000001475001</t>
  </si>
  <si>
    <t>3210037000003212001</t>
  </si>
  <si>
    <t>3210037000001272045</t>
  </si>
  <si>
    <t>3210037000001222091</t>
  </si>
  <si>
    <t>3210037000000286001</t>
  </si>
  <si>
    <t>3210037000001582001</t>
  </si>
  <si>
    <t>3210037000001495001</t>
  </si>
  <si>
    <t>3210037000005217001</t>
  </si>
  <si>
    <t>3210037000002217103</t>
  </si>
  <si>
    <t>3210037000003092173</t>
  </si>
  <si>
    <t>3210037000002314135</t>
  </si>
  <si>
    <t>3210037000000994001</t>
  </si>
  <si>
    <t>3210037000000908001</t>
  </si>
  <si>
    <t>3210037000004327046</t>
  </si>
  <si>
    <t>3210037000004795070</t>
  </si>
  <si>
    <t>3210037000002462141</t>
  </si>
  <si>
    <t>3210037000003132047</t>
  </si>
  <si>
    <t>3210037000004860001</t>
  </si>
  <si>
    <t>3210037000002756129</t>
  </si>
  <si>
    <t>3210037000004592160</t>
  </si>
  <si>
    <t>3210037000002917079</t>
  </si>
  <si>
    <t>3210037000004751001</t>
  </si>
  <si>
    <t>3210037000002931001</t>
  </si>
  <si>
    <t>3210037000002867167</t>
  </si>
  <si>
    <t>3210037000002959077</t>
  </si>
  <si>
    <t>3210037000002972001</t>
  </si>
  <si>
    <t>3210037000003042275</t>
  </si>
  <si>
    <t>3210037000001086039</t>
  </si>
  <si>
    <t>3210037000001179005</t>
  </si>
  <si>
    <t>3210037000000779044</t>
  </si>
  <si>
    <t>3210037000000951001</t>
  </si>
  <si>
    <t>3210037000002082107</t>
  </si>
  <si>
    <t>3210037000001476095</t>
  </si>
  <si>
    <t>3210037000000443001</t>
  </si>
  <si>
    <t>3210037000000783078</t>
  </si>
  <si>
    <t>3210037000000076376</t>
  </si>
  <si>
    <t>3210037000003004233</t>
  </si>
  <si>
    <t>3210037000002867033</t>
  </si>
  <si>
    <t>3210037000003546001</t>
  </si>
  <si>
    <t>3210037000001037029</t>
  </si>
  <si>
    <t>3210037000000781001</t>
  </si>
  <si>
    <t>3210037000001759295</t>
  </si>
  <si>
    <t>3210037000001898001</t>
  </si>
  <si>
    <t>3210037000000184001</t>
  </si>
  <si>
    <t>3210037000000093001</t>
  </si>
  <si>
    <t>3210037000000261074</t>
  </si>
  <si>
    <t>3210037000000394001</t>
  </si>
  <si>
    <t>3210037000003797049</t>
  </si>
  <si>
    <t>individual</t>
  </si>
  <si>
    <t>3210037000004067101</t>
  </si>
  <si>
    <t>3210037000001699043</t>
  </si>
  <si>
    <t>3210037000002985001</t>
  </si>
  <si>
    <t>3210037000001431082</t>
  </si>
  <si>
    <t>3210037000003718033</t>
  </si>
  <si>
    <t>3210037000001086117</t>
  </si>
  <si>
    <t>3210037000001138341</t>
  </si>
  <si>
    <t>3210037000002569036</t>
  </si>
  <si>
    <t>3210037000000387023</t>
  </si>
  <si>
    <t>3210037000000104046</t>
  </si>
  <si>
    <t>3210037000001017001</t>
  </si>
  <si>
    <t>3210037000000101001</t>
  </si>
  <si>
    <t>3210037000000085001</t>
  </si>
  <si>
    <t>3210037000000088037</t>
  </si>
  <si>
    <t>churn_date</t>
  </si>
  <si>
    <t>churn_flag</t>
  </si>
  <si>
    <t>active_inactive</t>
  </si>
  <si>
    <t>days_since_last_campaign</t>
  </si>
  <si>
    <t>total_spend_ngn</t>
  </si>
  <si>
    <t>total_campaign_runs</t>
  </si>
  <si>
    <t>last_campaign_date</t>
  </si>
  <si>
    <t>first_campaign_date</t>
  </si>
  <si>
    <t>business_size</t>
  </si>
  <si>
    <t>business_category</t>
  </si>
  <si>
    <t>client_id</t>
  </si>
  <si>
    <t>3210037000004059005</t>
  </si>
  <si>
    <t>3210037000000559029</t>
  </si>
  <si>
    <t>3210037000002798001</t>
  </si>
  <si>
    <t>3210037000005460159</t>
  </si>
  <si>
    <t>3210037000005366073</t>
  </si>
  <si>
    <t>3210037000000540046</t>
  </si>
  <si>
    <t>3210037000000883063</t>
  </si>
  <si>
    <t>3210037000001157001</t>
  </si>
  <si>
    <t>3210037000001498001</t>
  </si>
  <si>
    <t>Entertainment</t>
  </si>
  <si>
    <t>Corporate</t>
  </si>
  <si>
    <t>Beauty</t>
  </si>
  <si>
    <t>Betting</t>
  </si>
  <si>
    <t>Fashion &amp; Beauty</t>
  </si>
  <si>
    <t>Comedy</t>
  </si>
  <si>
    <t>/</t>
  </si>
  <si>
    <t>/nigerian-lady-reveals-husband-speaking-terms-bride-price/</t>
  </si>
  <si>
    <t>/toyosi-adesanyas-husband-speaks-at-naming-ceremony-says-wife-survived-four-surgeries-and-came-close-to-death-before-babys-arrival-video/</t>
  </si>
  <si>
    <t>/at-least-i-still-have-40-years-to-love-a-man-us-based-nigerian-woman-attends-wedding-of-friend-who-got-married-for-the-first-time-at-60/</t>
  </si>
  <si>
    <t>/angel-smiths-partner-tumininu-continues-spill-more/</t>
  </si>
  <si>
    <t>/pastor-leaves-pulpit-after-girl-with-skimpy-dress-refused-to-sit-at-the-back/</t>
  </si>
  <si>
    <t>/nigerian-woman-reveals-husband-returned-parents-church-wedding/</t>
  </si>
  <si>
    <t>/it-is-broke-that-youre-broke-bbnaija-phyna-claps-back-at-critics-of-body-enhancement-surgery/</t>
  </si>
  <si>
    <t>/apostle-chibuzor-offers-house-lifetime-financial-support-man/</t>
  </si>
  <si>
    <t>/phyno-x-olamide-augment/</t>
  </si>
  <si>
    <t>/sudanese-man-loses-childhood-girlfriend-fewer-cows-heartbreaking-goodbye/</t>
  </si>
  <si>
    <t>/nigerian-man-returns-home-shadow-himself/</t>
  </si>
  <si>
    <t>/tekno-woman-mp3/</t>
  </si>
  <si>
    <t>/selebobo-ft-davido-waka-waka-mp3-2/</t>
  </si>
  <si>
    <t>/music-timaya-ft-don-jazzy-i-concur/</t>
  </si>
  <si>
    <t>/lady-trips-while-filming-at-church-entrance-quietly-walks-off-in-embarrassment-video/</t>
  </si>
  <si>
    <t>/peller-regrets-introducing-joblaq-biggest-gifter-word/</t>
  </si>
  <si>
    <t>/nigerian-chef-faces-criticism-hygiene/</t>
  </si>
  <si>
    <t>/i-bought-it-for-myself-but-he-has-inherited-it-woman-films-her-husband-having-fun-with-a-talking-cactus-toy-watch/</t>
  </si>
  <si>
    <t>/woman-turns-down-mothers-omugwo-pregnancy/</t>
  </si>
  <si>
    <t>/medical-doctor-passes-giving-birth-triplets/</t>
  </si>
  <si>
    <t>/nigerian-music/</t>
  </si>
  <si>
    <t>/flavour-awele-ft-umu-obiligbo-music/</t>
  </si>
  <si>
    <t>/two-unical-graduating-students-lose-lives-road-crash/</t>
  </si>
  <si>
    <t>/teni-case-music/</t>
  </si>
  <si>
    <t>/drama-unfolds-in-a-car-as-pet-dog-refuses-to-vacate-the-front-seat-for-the-owners-sister-watch/</t>
  </si>
  <si>
    <t>/moment-a-woman-blocks-a-brides-entrance-into-a-family-gathering-during-the-wedding-ceremony-watch/</t>
  </si>
  <si>
    <t>/lady-and-her-friend-flee-after-thunder-suddenly-struck-while-playing-in-the-rain-watch/</t>
  </si>
  <si>
    <t>/larry-gaaga-low-ft-wizkid-music/</t>
  </si>
  <si>
    <t>/lady-says-her-mum-married-a-dramatic-man-after-her-dad-jokingly-introduced-her-as-his-problem-watch/</t>
  </si>
  <si>
    <t>/toddler-tries-to-make-a-run-for-it-upon-hearing-another-toddlers-scream-during-a-hospital-visit-for-immunization-video/</t>
  </si>
  <si>
    <t>/brazilian-content-creator-allegedly-run-over/</t>
  </si>
  <si>
    <t>/download-videos/</t>
  </si>
  <si>
    <t>/newlywed-bride-seemingly-ignores-corp-members-who-tried-to-share-in-her-joy-on-her-wedding-day-watch/</t>
  </si>
  <si>
    <t>/music-korede-bello-ft-tiwa-savage-romantic/</t>
  </si>
  <si>
    <t>/man-braids-his-hair-forgetting-his-mum-is-a-pastor-watch/</t>
  </si>
  <si>
    <t>/music-rudeboy-double-double-ft-phyno-olamide/</t>
  </si>
  <si>
    <t>/phyno-iyilu-ife-music/</t>
  </si>
  <si>
    <t>/lady-amused-younger-sister-noodles/</t>
  </si>
  <si>
    <t>/mohbads-son-liam-turns-three/</t>
  </si>
  <si>
    <t>/nigeria-news/</t>
  </si>
  <si>
    <t>/dr-dolor-pray-ft-teni-phyno-music/</t>
  </si>
  <si>
    <t>/lady-left-embarrassed-running-ex-boyfriend-wearing-joggers-video/</t>
  </si>
  <si>
    <t>/couple-shares-their-matriculation-photo-versus-their-convocation-photo-photos/</t>
  </si>
  <si>
    <t>/contact/</t>
  </si>
  <si>
    <t>/runtown-for-life-mp3/</t>
  </si>
  <si>
    <t>/actress-ruth-kadiri-warns-christians-holy-spirit/</t>
  </si>
  <si>
    <t>/rudeboy-reason-with-me-video/</t>
  </si>
  <si>
    <t>/we-really-did-not-mean-to-get-caught-lady-shares-her-dads-reaction-after-seeing-her-and-her-siblings-cruising-in-his-car-watch/</t>
  </si>
  <si>
    <t>/fast-pray-god-clients-answers-canada-based-nigerian-hooker-duchess-priscilla-reveals-video/</t>
  </si>
  <si>
    <t>/lady-man-friends-wife-childbirth/</t>
  </si>
  <si>
    <t>/lady-p3riod-buka/</t>
  </si>
  <si>
    <t>/bride-wipes-off-makeup-before-wedding-ceremony-over-church-doctrine-watch/</t>
  </si>
  <si>
    <t>/comedy-skits-videos/</t>
  </si>
  <si>
    <t>/davido-wonder-woman-music/</t>
  </si>
  <si>
    <t>/lady-stunned-as-her-neighbor-tears-a-coconut-open-using-her-teeth-video/</t>
  </si>
  <si>
    <t>/admitted-cheating-smith-protect-jada-pinkett/</t>
  </si>
  <si>
    <t>/never-even-reach-week-wey-thing-lady-faces-backlash-mistreating-pet-cat-given-anger-management-watch/</t>
  </si>
  <si>
    <t>/husband-friend-lady/</t>
  </si>
  <si>
    <t>/apostle-chibuzor-suspends-plan-marry-autistic-daughter/</t>
  </si>
  <si>
    <t>/rudeboy-chizoba-music/</t>
  </si>
  <si>
    <t>/kiss-daniel-sofa-download-mp3/</t>
  </si>
  <si>
    <t>/simi-jericho-ft-patoranking-music/</t>
  </si>
  <si>
    <t>/remove-my-bad-character-i-am-a-spec-phyna-declares-any-man-who-cheats-on-her-is-the-one-losing/</t>
  </si>
  <si>
    <t>/music-wizkid-final-baba-nla/</t>
  </si>
  <si>
    <t>/israel-dmw-says-marrying-a-foreigner-is-not-the-problem-bringing-the-children-back-home-is/</t>
  </si>
  <si>
    <t>/family-stunned-receiving-funeral-souvenir-wedding-gift-watch/</t>
  </si>
  <si>
    <t>/man-recounts-how-baddie-almost-walked-off-with-his-luxury-cap-at-a-concert-watch/</t>
  </si>
  <si>
    <t>/music-stanley-okorie-happy-mumu/</t>
  </si>
  <si>
    <t>/teni-uyo-meyo-music/</t>
  </si>
  <si>
    <t>/adekunle-gold-simi-promise/</t>
  </si>
  <si>
    <t>/man-who-returned-after-6-years-gets-angry-after-his-wife-told-him-to-use-protection/</t>
  </si>
  <si>
    <t>/gossip/</t>
  </si>
  <si>
    <t>/justin-trudeau-sipping-coachella-single-use-plastics-canada/</t>
  </si>
  <si>
    <t>/lady-surprises-siblings-watch/</t>
  </si>
  <si>
    <t>/music-tekno-be-mp3/</t>
  </si>
  <si>
    <t>/tape-zimbabwean-music-producer-dj-levels-daughter-former-health-minister-shashl-online/</t>
  </si>
  <si>
    <t>/woman-laments-over-her-husbands-constant-consumption-of-eba-watch/</t>
  </si>
  <si>
    <t>/nigerian-woman-shares-heartwarming-video-husband-daughter/</t>
  </si>
  <si>
    <t>/entertainment-news/</t>
  </si>
  <si>
    <t>/nigerian-girl-who-was-almost-unalived-after-being-accused-of-witchcraft-graduates-from-university-11-years-after-her-rescue/</t>
  </si>
  <si>
    <t>/king-perryy-murder-ft-teni-music/</t>
  </si>
  <si>
    <t>/music-dj-kaywise-caro-ft-tekno-falz/</t>
  </si>
  <si>
    <t>/music-zoro-halleluyah/</t>
  </si>
  <si>
    <t>/spray-all-3-stay-outside-least-5-hrs-lady-shares-sprayed-three-insecticides-room-stop-cockroaches-video/</t>
  </si>
  <si>
    <t>/oap-mayowa-ekpo-reveals-fate-woman-planning-snatch-husband-because-country/</t>
  </si>
  <si>
    <t>/lady-shocked-after-her-younger-sister-takes-dance-trend-too-far-with-bottle-move-video/</t>
  </si>
  <si>
    <t>/woman-nearly-passes-out-after-reuniting-with-her-sister-whom-she-havent-seen-in-11-years/</t>
  </si>
  <si>
    <t>/music-kizz-daniel-pak-n-go/</t>
  </si>
  <si>
    <t>/actress-bimbo-ademoye-addresses-bashing-giveaway/</t>
  </si>
  <si>
    <t>/lady-stranger-money/</t>
  </si>
  <si>
    <t>/woman-truly-loves-never-leave-ch3ating-man-shares/</t>
  </si>
  <si>
    <t>/jamb-arrests-two-candidates-parents-falsifying/</t>
  </si>
  <si>
    <t>/music-viktoh-ft-lil-kesh-skibi-dat/</t>
  </si>
  <si>
    <t>/2-burglars-experience-5-days-of-hell-after-breaking-into-home-of-notorious-gay-predator/</t>
  </si>
  <si>
    <t>/abroad-based-nigerian-couple-shares-heartwarming-wedding-moments-in-a-love-filled-city-watch/</t>
  </si>
  <si>
    <t>/music-speed-darlington-in-love-with-my-hand-ft-zlatan/</t>
  </si>
  <si>
    <t>/newlywed-bride-recounts-how-her-wedding-almost-got-cancelled-after-an-auxiliary-nurse-confirmed-a-line-on-her-pregnancy-strip-was-positive-watch/</t>
  </si>
  <si>
    <t>/nigerian-mum-bl0ws-hot-discovering-15-year-old-daughters-second-ear-piercing-video/</t>
  </si>
  <si>
    <t>/man-breaks-fiancee-refused-pound-yam-mother/</t>
  </si>
  <si>
    <t>/olajumoke-orisaguna-clears-viral-video-sparks-rumours/</t>
  </si>
  <si>
    <t>/21-year-old-bed-wetting-university/</t>
  </si>
  <si>
    <t>/donald-trump-deletes-post-depicting-him-as-jesus-like-figure-after-backlash/</t>
  </si>
  <si>
    <t>/music-lyta-worry/</t>
  </si>
  <si>
    <t>/female-student-performs-oral-sex-classmate-south-africa-18/</t>
  </si>
  <si>
    <t>/if-god-be-for-you-no-man-can-be-against-you-no-matter-how-hard-dey-try-iyabo-ojo-throws-shades-following-her-new-achievement/</t>
  </si>
  <si>
    <t>/woman-shows-husband-eating-promising-video/</t>
  </si>
  <si>
    <t>/little-girl-shocks-aunt-claiming-braids-cost-‚Ç¶1-4-million-video/</t>
  </si>
  <si>
    <t>/music-humblesmith-osinachi-remix-ft-davido/</t>
  </si>
  <si>
    <t>/new-music-dmw-feat-davido-mayorkun-dremo-peruzzi-mind/</t>
  </si>
  <si>
    <t>/music-dbanj-emergency/</t>
  </si>
  <si>
    <t>/music-2baba-ft-peruzzi-amaka/</t>
  </si>
  <si>
    <t>/nigerias-economy-growing-faster-president-tinubus-aide-daniel-bwala/</t>
  </si>
  <si>
    <t>/day-knew-time-relocate-lady-shares-interesting-experience/</t>
  </si>
  <si>
    <t>/pastor-ibiyeomie-says-remain-rich-even-congregation-never-gives/</t>
  </si>
  <si>
    <t>/viral/</t>
  </si>
  <si>
    <t>/man-rebukes-father-saying-wife-should-one-carrying-baby/</t>
  </si>
  <si>
    <t>/music-adekunle-gold-pick-up/</t>
  </si>
  <si>
    <t>/music-simi-controlla-remix/</t>
  </si>
  <si>
    <t>/upcoming-actress-boasts-nipples/</t>
  </si>
  <si>
    <t>/king-promise-tokyo-ft-wizkid-music/</t>
  </si>
  <si>
    <t>/music-sugarboy-hola-hola/</t>
  </si>
  <si>
    <t>/sarz-ego-nobody-wins-ft-wurld-music/</t>
  </si>
  <si>
    <t>/lufthansa-strike-leaves-nigerian-passengers-stranded-at-frankfurt-airport-as-flights-are-cancelled-across-germany/</t>
  </si>
  <si>
    <t>/i-am-not-a-virgin-i-am-a-mother-of-three-the-father-of-my-three-children-is-late-woman-who-married-apostle-chibuzors-autistic-son-aboy/</t>
  </si>
  <si>
    <t>/our-story-is-real-our-pain-is-real-our-kidnapping-was-not-fake-chibok-kidnap-survivor-speaks-on-12th-anniversary-of-their-abduction/</t>
  </si>
  <si>
    <t>/phyno-oil-music/</t>
  </si>
  <si>
    <t>/hes-15-years-old-not-12-and-suffers-from-mental-illness-woman-whose-son-destroyed-their-home-speaks-video/</t>
  </si>
  <si>
    <t>/music-phyno-ft-tekno-iwa/</t>
  </si>
  <si>
    <t>/music-id-cabasa-totori-ft-olamide-wizkid/</t>
  </si>
  <si>
    <t>/ndlea-warns-nigerians-against-receiving-packages/</t>
  </si>
  <si>
    <t>/wizkid-medicine-mp3/</t>
  </si>
  <si>
    <t>/edo-state-polytechnic-expels-two-students-caught-having-sex-inside-a-lecture-hall/</t>
  </si>
  <si>
    <t>/music-davido-ft-r-kelly-remix/</t>
  </si>
  <si>
    <t>/south-african-man-who-was-gang-raped-by-2-ladies-heres-how-it-happened/</t>
  </si>
  <si>
    <t>/teni-gele-music/</t>
  </si>
  <si>
    <t>/wife-places-yul-edochie-speaks/</t>
  </si>
  <si>
    <t>/old-tweets-from-2021-shows-angel-saying-that-she-finds-studs-annoying/</t>
  </si>
  <si>
    <t>/lady-says-taking-mechanic-alone-single-feel-real/</t>
  </si>
  <si>
    <t>/music-l-a-x-ft-dremo-x-ycee-ole-prod-by-legendury-beatz/</t>
  </si>
  <si>
    <t>/olamide-poverty-die-mp3/</t>
  </si>
  <si>
    <t>/hilarious-moment-between-a-woman-and-her-keke-rider-boyfriend-video/</t>
  </si>
  <si>
    <t>/abroad-based-nigerian-lady-eats-bread-stew-fork-adjusts-eating-style-work-watch/</t>
  </si>
  <si>
    <t>/married-zimbabwean-man-caught-sex-mad-woman-christmas-day/</t>
  </si>
  <si>
    <t>/wedding-guest-sparks-reactions-after-drinking-beer-from-a-decorative-cup-video/</t>
  </si>
  <si>
    <t>/konji-is-a-bastard-kenyan-man-caught-masturbating-in-public-while-watching-university-girls-in-sch-bus/</t>
  </si>
  <si>
    <t>/meet-25-year-old-lady-gigantic-breasts-stop-growing-due-rare-condition-photos/</t>
  </si>
  <si>
    <t>/music-mr-eazi-anointing-ft-sarkodie/</t>
  </si>
  <si>
    <t>/lady-shares-siblings-turned-their-fathers-house-nightclub-watch/</t>
  </si>
  <si>
    <t>/man-shares-how-his-swollen-face-from-bee-sting-was-mistaken-for-a-camera-filter-by-his-friends-video/</t>
  </si>
  <si>
    <t>/music-emtee-ft-wizkid-x-aka-roll-up-re-up/</t>
  </si>
  <si>
    <t>/watch-excited-female-ss3-students-twerk-up-a-storm-as-waec-exams-come-to-an-end/</t>
  </si>
  <si>
    <t>/odumeje-stirs-controversy-again-says-dna-testing-contradicts-igbo-tradition-and-nigerian-labs-cant-be-trusted/</t>
  </si>
  <si>
    <t>/emotional-moment-a-bride-shares-how-it-feels-getting-married-to-a-father-of-2-kids-watch/</t>
  </si>
  <si>
    <t>/man-and-his-friend-compete-over-cutting-vegetables-after-visiting-his-mother-at-the-market-video/</t>
  </si>
  <si>
    <t>/victor-ad-no-idea-music/</t>
  </si>
  <si>
    <t>/video-tiwa-savage-loaded-ft-asake/</t>
  </si>
  <si>
    <t>/infamous-bariga-cultist-ex-convict-small-japron-reportedly-killed-cult-clash/</t>
  </si>
  <si>
    <t>/lady-friend-criticized-faking-birthday-free-cake-restaurant-watch/</t>
  </si>
  <si>
    <t>/music-lil-kesh-ft-adekunle-gold-life-of-a-star/</t>
  </si>
  <si>
    <t>/security-officer-visitor-birthday-elizade-university/</t>
  </si>
  <si>
    <t>/special-adviser-to-the-president-bayo-onanuga-defends-the-alleged-ai-image-shared-by-the-presidency-earlier-today/</t>
  </si>
  <si>
    <t>/bayero-university-kano-dismisses-171-students-over-fake-admission-documents/</t>
  </si>
  <si>
    <t>/i-still-dont-know-my-exact-age-obasanjo/</t>
  </si>
  <si>
    <t>/miss-anambra-chidinma-okekes-lesbian-sex-video-with-her-close-friend-leaks-and-its-messy-we-have-the-video-they-used-cucumber/</t>
  </si>
  <si>
    <t>/post-negative-content-social-media-face-sanctions-nysc-dg-warns-corps-members/</t>
  </si>
  <si>
    <t>/super-tv-boss-trial-nears-end/</t>
  </si>
  <si>
    <t>/ashmusy-takes-legal-action-realtor-false-claims-home-ownership/</t>
  </si>
  <si>
    <t>/audio-video-adekunle-gold-ariwo-ko/</t>
  </si>
  <si>
    <t>/i-apologize-power-minister-begs-nigerians-over-outages/</t>
  </si>
  <si>
    <t>/i-know-how-to-deal-with-you-lady-shares-her-dads-response-after-he-paid-for-her-hair-watch/</t>
  </si>
  <si>
    <t>/lagos-ranked-best-state-for-doing-business-in-nigeria-report/</t>
  </si>
  <si>
    <t>/mayorkun-true-ft-kizz-daniel-music/</t>
  </si>
  <si>
    <t>/release-nnamdi-kanu-forget-south-east-votes-2027-cubana-chief-priest-tinubu/</t>
  </si>
  <si>
    <t>/sarkodie-lucky-ft-rudeboy-music/</t>
  </si>
  <si>
    <t>/child-would-allow-boy-live-wife-asked-husband-requested-take-other-son/</t>
  </si>
  <si>
    <t>/i-buy-them-in-set-woman-shows-off-the-number-of-wedding-rings-she-own-in-less-than-two-years-of-marriage-watch/</t>
  </si>
  <si>
    <t>/moment-socialite-seyi-vodis-wife-confronted-alleged-sidechic-while-pants-down-office-video/</t>
  </si>
  <si>
    <t>/music-cassper-nyovest-malome-ft-mahotela-queens/</t>
  </si>
  <si>
    <t>/music-mavins-all-is-in-order-ft-don-jazzy-rema-korede-bello-dna-crayon/</t>
  </si>
  <si>
    <t>/music-zlatan-bolanle/</t>
  </si>
  <si>
    <t>/olamide-woske-music/</t>
  </si>
  <si>
    <t>/viral-video-lady-allows-two-area-boys-to-publicly-fondle-her-b00bs-watch/</t>
  </si>
  <si>
    <t>/ashamed-viral-nigerian-lawyer-ifunanya-breaks-silence-private-photos-leaked-online-video/</t>
  </si>
  <si>
    <t>/audio-timaya-to-u/</t>
  </si>
  <si>
    <t>/moment-bus-driver-dumps-passenger-mid-trip-downplaying-insecurity-nigeria/</t>
  </si>
  <si>
    <t>/pastor-chris-oyakhilomes-ex-wife-anita-remarries/</t>
  </si>
  <si>
    <t>/paystack-fires-ezra-allegations-junior-employee/</t>
  </si>
  <si>
    <t>/police-arrest-suspected-one-chance-operators-hiding-in-ibadan-hotel/</t>
  </si>
  <si>
    <t>/man-reveals-why-you-should-never-open-a-bank-account-in-your-name/</t>
  </si>
  <si>
    <t>/music-rahman-jago-ijo-ope-ft-zlatan-ibile-junior-boy-chinko-ekun/</t>
  </si>
  <si>
    <t>/qdot-gbese-music/</t>
  </si>
  <si>
    <t>/woman-dilemma-claiming-enjoys-colleagues-attention-husbands/</t>
  </si>
  <si>
    <t>/audio-video-korede-bello-mungo-park/</t>
  </si>
  <si>
    <t>/lady-boyfriend-friends-food/</t>
  </si>
  <si>
    <t>/ndlea-arrests-pastor-wife-seme/</t>
  </si>
  <si>
    <t>/pastor-adeboye-reason-avoids-female-secretary/</t>
  </si>
  <si>
    <t>/tekno-choko-mp3/</t>
  </si>
  <si>
    <t>/court-jails-suspended-unical-law-dean-cyril-ndifon-five/</t>
  </si>
  <si>
    <t>/music-blaqbonez-shut-up/</t>
  </si>
  <si>
    <t>/nigeria-agrees-to-receive-deported-criminals-failed-asylum-seekers/</t>
  </si>
  <si>
    <t>/nigerian-instagram-comedienne-ada-la-pinky-talks-boobs-real-fake/</t>
  </si>
  <si>
    <t>/first-duty-moment-stand-people-plateau-president-bola-ahmed-tinubu/</t>
  </si>
  <si>
    <t>/high-t.me/s-stopped-posting-youths-states-outside-base-odumodublvck-nysc-rising-insecurity/</t>
  </si>
  <si>
    <t>/lady-keeps-evidence-show-husband-begged-marry-watch/</t>
  </si>
  <si>
    <t>/music-dremo-ojere-prod-adey/</t>
  </si>
  <si>
    <t>/music-solidstar-ft-davido-wait/</t>
  </si>
  <si>
    <t>/simi-lovin-music/</t>
  </si>
  <si>
    <t>/american-missionary-blasts-tinubu-over-plateau-state-attack-that-left-ten-dead-on-palm-sunday-night/</t>
  </si>
  <si>
    <t>/angel-smith-fires-back-at-claims-that-a-heartbreak-turned-her-into-a-lesbian-says-she-has-been-openly-queer-since-before-bbnaija/</t>
  </si>
  <si>
    <t>/kizz-daniel-ayee-music/</t>
  </si>
  <si>
    <t>/larry-gaaga-ft-burna-boy-2baba-dbanj-baba-nla-music/</t>
  </si>
  <si>
    <t>/music-davido-ft-tinashe-how-long/</t>
  </si>
  <si>
    <t>/music-phyno-ft-wale-n-w-a/</t>
  </si>
  <si>
    <t>/music-timaya-ft-phyno-telli-person/</t>
  </si>
  <si>
    <t>/music-waje-left-for-good-ft-patoranking-godwin-strings/</t>
  </si>
  <si>
    <t>/video-naira-marley-coming-ft-busiswa/</t>
  </si>
  <si>
    <t>/emtee-ghetto-hero-mp3/</t>
  </si>
  <si>
    <t>/lady-shares-her-mums-hilarious-response-after-forgetting-to-add-oil-in-moi-moi-meal-audio/</t>
  </si>
  <si>
    <t>/man-turkey-teeth-surgery-teeth/</t>
  </si>
  <si>
    <t>/music-phyno-the-bag/</t>
  </si>
  <si>
    <t>/passerby-stunned-gas-cylinder-found-secured-iron-cage-window/</t>
  </si>
  <si>
    <t>/apostle-chibuzor-offers-house-lifet.me/s-financial-support-man/</t>
  </si>
  <si>
    <t>/cake-gree-cut-like-cement-woman-laments-struggling-slice-cake-meant-school-teachers-watch/</t>
  </si>
  <si>
    <t>/2baba-frenemies-ft-waje-music/</t>
  </si>
  <si>
    <t>/2baba-holy-holy-2/</t>
  </si>
  <si>
    <t>/author/daniel/</t>
  </si>
  <si>
    <t>/lady-narrates-how-her-boobs-grew-to-a-size-38t-within-3-years-photos/</t>
  </si>
  <si>
    <t>/larry-gaaga-low-ft-wizkid-video/</t>
  </si>
  <si>
    <t>/music-korede-bello-one-only-prod-by-don-jazzy/</t>
  </si>
  <si>
    <t>/music-tekno-ft-flavour-phyno-duro-remix/</t>
  </si>
  <si>
    <t>/music-timaya-hallelujah/</t>
  </si>
  <si>
    <t>/new-music-dj-spinall-ft-kiss-daniel-baba/</t>
  </si>
  <si>
    <t>/teni-power-rangers-music/</t>
  </si>
  <si>
    <t>/hausa-actress-maryam-booth-accuses-her-ex-boyfriend-of-blackmail-after-her-nude-video-got-leaked-on-social-media/</t>
  </si>
  <si>
    <t>/man-who-owes-a-network-provider-7500-naira-airt.me/s-scores-145-in-jamb-exam-watch/</t>
  </si>
  <si>
    <t>/music-dj-jimmy-jatt-ft-wizkid-feeling-the-beat-prod-by-delb/</t>
  </si>
  <si>
    <t>/music-naira-marley-puta-pxta/</t>
  </si>
  <si>
    <t>/music-timaya-i-like-the-way/</t>
  </si>
  <si>
    <t>/tekno-on-you-music/</t>
  </si>
  <si>
    <t>/wife-mercilessly-beats-husbands-side-chic-strips-her-unclad-video/</t>
  </si>
  <si>
    <t>/crayon-so-fine-music/</t>
  </si>
  <si>
    <t>/davolee-way-music/</t>
  </si>
  <si>
    <t>/dj-neptune-demo-ft-davido-music/</t>
  </si>
  <si>
    <t>/indian-man-caught-homeless-african-girl/</t>
  </si>
  <si>
    <t>/korra-obidi-leaks-intimate-video-estranged-husband-justin-dean-19-year-old-woman-accuses-him-infidelity/</t>
  </si>
  <si>
    <t>/mind-gave-money-make-hair-got-dress-lady-returns-home-leaves-man-took-club-watch/</t>
  </si>
  <si>
    <t>/music-lil-kesh-ft-olamide-problem-child/</t>
  </si>
  <si>
    <t>/music-yemi-alade-iyanya-olamide-tekno-selebobo-mama-oyoyo/</t>
  </si>
  <si>
    <t>/new-music-teni-askamaya/</t>
  </si>
  <si>
    <t>/pastors-wife-mistakenly-sent-video-whatsapp-group/</t>
  </si>
  <si>
    <t>/which-one-is-national-anthem-s3x-style-again-social-media-users-ask-as-leaked-video-of-verydarkman-surfaces-where-he-begs-money-for-s3x/</t>
  </si>
  <si>
    <t>/music-cdq-ft-wizkid-nowo-e-soke/</t>
  </si>
  <si>
    <t>/music-flavour-crazy-love-ft-yemi-alade/</t>
  </si>
  <si>
    <t>/new-music-phyno-isi-ego/</t>
  </si>
  <si>
    <t>/resident-amused-spotting-loved-couple-sharing-playful-moments-street-watch/</t>
  </si>
  <si>
    <t>/wife-finds-husband-tendered-resignation-hr-hardly-available-good-s3x/</t>
  </si>
  <si>
    <t>/adekunle-gold-kelegbe-megbe-music/</t>
  </si>
  <si>
    <t>/music-lil-kesh-shele-gan-gan-prod-by-krizbeatz/</t>
  </si>
  <si>
    <t>/wayward-youths-yesterday-parents-governor-obasekis-aide-reacts-video-adults-recording-little-kids-grinding-dancing/</t>
  </si>
  <si>
    <t>/advertise/</t>
  </si>
  <si>
    <t>/former-bbnaija-winner-phyna-invited-by-police-amidst-controversy-over-rented-wig-video/</t>
  </si>
  <si>
    <t>/man-heart-attack-62-times/</t>
  </si>
  <si>
    <t>/man-make-feel-favor-marrying-bassey/</t>
  </si>
  <si>
    <t>/moment-couple-covered-artificial-snow-spray-cake-cutting-video/</t>
  </si>
  <si>
    <t>/video-tekno-diana/</t>
  </si>
  <si>
    <t>/what-do-you-want-me-to-do-lady-shares-vendors-response-after-complaining-about-the-burnt-plantain-chips-she-bought-at-a-supermarket-watch/</t>
  </si>
  <si>
    <t>/3-5-boys-gang-girl-ghana-arrested/</t>
  </si>
  <si>
    <t>/bbnaija-steamy-moment-angel-overpowers-yousef-eroctic-dancing-video/</t>
  </si>
  <si>
    <t>/dj-ecool-ft-davido-ada/</t>
  </si>
  <si>
    <t>/korra-obidi-shares-semi-nude-dance-video/</t>
  </si>
  <si>
    <t>/lady-shares-reaction-discovering-boyfriends-sxx-tapes-others/</t>
  </si>
  <si>
    <t>/lady-stunned-spotting-antisocial-boyfriend-playing-video-games-club/</t>
  </si>
  <si>
    <t>/music-dj-neptune-ft-olamide-boj-stonebwoy-baddest-prod-pheelz/</t>
  </si>
  <si>
    <t>/music-lil-kesh-ibile/</t>
  </si>
  <si>
    <t>/new-music-kizz-daniel-ft-wizkid-for-you/</t>
  </si>
  <si>
    <t>/nigerian-bride-turns-heads-devours-eba-okro-soup-returning-registry-video/</t>
  </si>
  <si>
    <t>/once-felt-erection-father-hugged-broadcaster-katherine-obiang-video/</t>
  </si>
  <si>
    <t>/angry-wife-punishes-husbands-sidechick-by-putting-pepper-in-her-vaginaphotos/</t>
  </si>
  <si>
    <t>/flavour-ariva-music/</t>
  </si>
  <si>
    <t>/lady-screams-in-excitement-after-witnessing-a-surprise-proposal-at-a-restaurant-watch/</t>
  </si>
  <si>
    <t>/lady-sex-tape-nigerian-pastor-leaked-finally-speaks-photos/</t>
  </si>
  <si>
    <t>/moment-a-bird-almost-carried-a-ladys-food-while-she-was-making-a-video-watch/</t>
  </si>
  <si>
    <t>/uche-jombo-calls-law-against-governors-using-senate-retirement-home/</t>
  </si>
  <si>
    <t>/woman-stripped-naked-for-allegedly-stealing-milk-from-a-store-speaks-up-to-clear-the-air-video/</t>
  </si>
  <si>
    <t>/body-mistake-busty-nigerian-lady-ignores-trolls-continues-post-bold-pictures-herself-online-video/</t>
  </si>
  <si>
    <t>/lil-kesh-ft-duncan-mighty-flenjo-music/</t>
  </si>
  <si>
    <t>/taxi-driver-masturbates-and-ejaculates-while-carrying-female-passengers-in-his-car-18-video/</t>
  </si>
  <si>
    <t>/three-women-who-raped-south-african-guy-released-on-bail/</t>
  </si>
  <si>
    <t>/wizkid-master-groove-music/</t>
  </si>
  <si>
    <t>/actress-etinosa-speaks-out-against-clubs-and-hotels-that-turn-women-away-for-coming-without-a-man/</t>
  </si>
  <si>
    <t>/comedy-video-sirbalo-comedy-secret-forbidden-fruit/</t>
  </si>
  <si>
    <t>/family-sue-boyfriend-teen-daughter-injected-his-hiv-positive-blood-body-prove-love/</t>
  </si>
  <si>
    <t>/lady-stunned-lounge-serves-cocktail-half-orange-watch/</t>
  </si>
  <si>
    <t>/lagos-partially-close-lekki-ajah-corridor-months-facilitate-major-road-repairs/</t>
  </si>
  <si>
    <t>/man-lam…ònts-after-realizing-his-father-built-a-house-in-an-area-that-doesnt-fit-his-aesthetics-watch/</t>
  </si>
  <si>
    <t>/music-ajebutter-22-bad-gang-ft-falz-prod-by-studio-magic/</t>
  </si>
  <si>
    <t>/music-bracket-ft-duncan-mighty-chinelo/</t>
  </si>
  <si>
    <t>/yemi-alade-oh-my-gosh-music/</t>
  </si>
  <si>
    <t>/busty-nigerian-lady-cause-men-fall-kinky-photos-twitter-screenshots/</t>
  </si>
  <si>
    <t>/erigga-more-cash-out-ft-yung6ix-sami-music/</t>
  </si>
  <si>
    <t>/hairstylist-nearly-burns-first-model-braiding-hair-watch/</t>
  </si>
  <si>
    <t>/mr-p-one-more-night-ft-niniola-music/</t>
  </si>
  <si>
    <t>/music-mr-eazi-ft-dammy-krane-joey-b-hollup/</t>
  </si>
  <si>
    <t>/pornstar-kingtblakhoc-looks-like-now-following-release-jail-begs-people-subscribe/</t>
  </si>
  <si>
    <t>/actress-moyo-lawal-breaks-silence-after-her-bedroom-tape-leaked-online/</t>
  </si>
  <si>
    <t>/boyfriend-strips-girlfriend-unclad-flogs-presence-friends-allegedly-cheating-him-kwara-video/</t>
  </si>
  <si>
    <t>/brothers-weap0n-fashioned-against-me-lady-says-brother-reported-mum-wearing-short-skirt-eyelashes-audio/</t>
  </si>
  <si>
    <t>/music-sean-tizzle-eruku-saye-po/</t>
  </si>
  <si>
    <t>/music-soft-money-remix-ft-wizkid/</t>
  </si>
  <si>
    <t>/relationship-generation-financial-gains-singer-rema/</t>
  </si>
  <si>
    <t>/video-ruger-girlfriend/</t>
  </si>
  <si>
    <t>/was-expelled-university-year-bbtitans-star-yvonne-recounts/</t>
  </si>
  <si>
    <t>/wokie-wokie-mr-p-ft-nyanda-music/</t>
  </si>
  <si>
    <t>/actress-madison-causes-stir-shares-before-now-photos/</t>
  </si>
  <si>
    <t>/barry-jhay-tomorrow-music/</t>
  </si>
  <si>
    <t>/burna-boy-on-the-low-video/</t>
  </si>
  <si>
    <t>/full-video-afia-schwarznegger-caught-husband-bonking/</t>
  </si>
  <si>
    <t>/i-caught-my-boyfriend-having-sex-with-his-own-mother-in-their-home/</t>
  </si>
  <si>
    <t>/lady-shares-happened-sacrificed-brothers-school-fee-save-boyfriend/</t>
  </si>
  <si>
    <t>/lady-shocked-intensity-labour-accompanying-pregnant-relative-hospital-video/</t>
  </si>
  <si>
    <t>/lagos-commercial-bus-driver-caught-camera-masturbating-video/</t>
  </si>
  <si>
    <t>/larry-gaaga-iworiwo-ft-2baba-music/</t>
  </si>
  <si>
    <t>/man-gets-stuck-sex-married-woman-kenya-photos/</t>
  </si>
  <si>
    <t>/music-joeboy-lonely/</t>
  </si>
  <si>
    <t>/music-lk-kuddy-with-you-remix-ft-wizkid-yung6ix-prod-by-gospelondebeatz/</t>
  </si>
  <si>
    <t>/mystro-x-wizkid-immediately/</t>
  </si>
  <si>
    <t>/page/34/</t>
  </si>
  <si>
    <t>/police-seize-324000-used-condoms-bust-factory-repackaging-resale-photos/</t>
  </si>
  <si>
    <t>/respect-body-serious-wife-korra-obidi-dragged-unclad-photo-responds/</t>
  </si>
  <si>
    <t>/comedy-video-yawaskit-yours-truthfully/</t>
  </si>
  <si>
    <t>/know-anywhere-yourself-celebrity-police-officer-phyna-during-routine-check/</t>
  </si>
  <si>
    <t>/lady-shocked-1-year-old-nephew-tells-married-watch/</t>
  </si>
  <si>
    <t>/m-i-abaga-illegal-music-3-the-finale/</t>
  </si>
  <si>
    <t>/man-caught-camera-masturbating-inside-shop-agos/</t>
  </si>
  <si>
    <t>/mastermind-new-years-day-massacre-omoku-rivers-state/</t>
  </si>
  <si>
    <t>/mixed-race-nigerian-lady-says/</t>
  </si>
  <si>
    <t>/music-peter-okoye-psquare-look-into-my-eyes/</t>
  </si>
  <si>
    <t>/music-tekno-diana/</t>
  </si>
  <si>
    <t>/paid-heavily-actress-sophie-alakija-reacts-dragged-unclad-photos/</t>
  </si>
  <si>
    <t>/reekado-banks-blessings-on-me-music/</t>
  </si>
  <si>
    <t>/timaya-pull-up-ft-burna-boy-music/</t>
  </si>
  <si>
    <t>/video-woman-masturbting-driving-trends-online/</t>
  </si>
  <si>
    <t>/what-the-two-girls-filmed-while-attempting-to-rape-a-guy-watch/</t>
  </si>
  <si>
    <t>/2baba-mama-music/</t>
  </si>
  <si>
    <t>/80-married-women-teach-sexual-health-experienced-orgasm-nigerian-midwife-reveals/</t>
  </si>
  <si>
    <t>/adekunle-gold-yo-yo-ft-flavour-music/</t>
  </si>
  <si>
    <t>/adesua-etomi-wellington-celebrates-husband-banky/</t>
  </si>
  <si>
    <t>/audio-video-burna-boy-work-rihanna-cover/</t>
  </si>
  <si>
    <t>/burna-boy-dangote-video/</t>
  </si>
  <si>
    <t>/falz-jeje-download-mp3/</t>
  </si>
  <si>
    <t>/i-and-my-billionaire-boyfriend-met-on-a-popular-blog-bobrisky-says/</t>
  </si>
  <si>
    <t>/man-refuses-move-house-wife-helped-build-f3ar-mockery/</t>
  </si>
  <si>
    <t>/married-man-living-bondage-actor-jidekene-achufusi-debunks-rumour/</t>
  </si>
  <si>
    <t>/massive-fight-breaks-public-half-naked-ladies-following-quarrel-photos-video/</t>
  </si>
  <si>
    <t>/music-adekunle-gold-mercy/</t>
  </si>
  <si>
    <t>/music-dj-big-n-ogologoma-ft-rema/</t>
  </si>
  <si>
    <t>/music-mr-p-too-late/</t>
  </si>
  <si>
    <t>/music-patoranking-make-am-prod-j-pizzle/</t>
  </si>
  <si>
    <t>/naira-marley-why-music/</t>
  </si>
  <si>
    <t>/nigeria-news/page/2/</t>
  </si>
  <si>
    <t>/nigerian-man-accused-leaking-sex-tape-south-african-legislature-speaker-refused-give-r300000/</t>
  </si>
  <si>
    <t>/pastor-iginlas-estranged-wife-yemisi-allegedly-married-america-photos/</t>
  </si>
  <si>
    <t>/relationship-sheggz-private-bella/</t>
  </si>
  <si>
    <t>/rema-dumebi-video/</t>
  </si>
  <si>
    <t>/simi-ayo-music/</t>
  </si>
  <si>
    <t>/tekno-samantha-mp3/</t>
  </si>
  <si>
    <t>/video-asake-joha/</t>
  </si>
  <si>
    <t>/woman-father-impossible-raising-siblings-alone-20-years/</t>
  </si>
  <si>
    <t>/15-year-old-boy-caught-having-goat-niger-state/</t>
  </si>
  <si>
    <t>/achieved-beyond-dreams-since-leaving-tems-opens-up/</t>
  </si>
  <si>
    <t>/at-least-i-still-have-40-years-to-love-a-man-us-based-nigerian-woman-attends-wedding-of-friend-who-got-married-for-the-first-t.me/s-at-60/</t>
  </si>
  <si>
    <t>/burna-boy-zlatan-killin-dem-video/</t>
  </si>
  <si>
    <t>/dancer-korra-obidi-gives-birth-second-child-home-through-water-birth-facebook-live-video/</t>
  </si>
  <si>
    <t>/edo-government-uncovers-alleged-adoption-scam-after-shutting-down-illegal-orphanage-in-owan-east/</t>
  </si>
  <si>
    <t>/erigga-situation-room-ft-brenny-jones-music/</t>
  </si>
  <si>
    <t>/ezra-olubi-suspended-paystack-company-probes-misconduct-allegation/</t>
  </si>
  <si>
    <t>/falz-alakori-ft-dice-ailes-music/</t>
  </si>
  <si>
    <t>/get-praying-husband-laura-ikeji-advises-ladies-shares-video-husband-praying-watch/</t>
  </si>
  <si>
    <t>/im-not-after-your-man-nigerian-lady-shows-off-her-lesbian-lover/</t>
  </si>
  <si>
    <t>/inside-lagos-strip-clubs-fun-fantasy-danger/</t>
  </si>
  <si>
    <t>/korra-obidis-husband-shares-intimate-childbirth-photos/</t>
  </si>
  <si>
    <t>/lady-goes-live-stream-laughing-friend-getting-raped-sickening-video/</t>
  </si>
  <si>
    <t>/lady-shares-video-moment-some-fuel-attendants-bought-fuel-power-generator-filling-station/</t>
  </si>
  <si>
    <t>/laura-ikejis-husband-surprises-iphone-days-kids-damaged-her-phone-video/</t>
  </si>
  <si>
    <t>/madonna-university-student-expelled-posting-runchy-tiktok-video-watch/</t>
  </si>
  <si>
    <t>/miss-anambra-leaked-lesbian-video-tops-nigerias-google-search/</t>
  </si>
  <si>
    <t>/music-cassper-nyovest-anatii-jump-ft-nasty-c/</t>
  </si>
  <si>
    <t>/music-flavour-gbo-gan-gbom-ft-phyno-zoro/</t>
  </si>
  <si>
    <t>/music-runtown-ft-wizkid-lagos-to-kampala/</t>
  </si>
  <si>
    <t>/music-zlatan-yeye-boyfriend/</t>
  </si>
  <si>
    <t>/wife-discovers-husband-virgins-wedding-night/</t>
  </si>
  <si>
    <t>/woman-abandoned-childlessness-discovers-decades-later-caused-medical-negligence/</t>
  </si>
  <si>
    <t>/woman-storms-out-of-set-after-presenter-pulls-down-her-top-exposing-her-boobs-on-live-tv-video/</t>
  </si>
  <si>
    <t>/bbnaijas-doyin-david-bags-international-endorsement-deal/</t>
  </si>
  <si>
    <t>/exclusive-music-kcee-x-harrysong-x-skiibii-ebaeno/</t>
  </si>
  <si>
    <t>/ghosts-women-sleep-making-withdoctor/</t>
  </si>
  <si>
    <t>/i-feel-v0lated-man-who-claimed-a-lady-s3xually-assulted-him-says/</t>
  </si>
  <si>
    <t>/i-want-know-right-give-wife-early-morning-sex-before-saying-my-morning-prayers-nigerian-man-asks/</t>
  </si>
  <si>
    <t>/jesse-jagz-new-world-mp3/</t>
  </si>
  <si>
    <t>/kannywood-actress-rahama-sadau-expelled-from-hausa-movie-industry-for-immoral-appearance-in-a-romantic-music-video/</t>
  </si>
  <si>
    <t>/kingtblakhoc-was-bringing-in-girls-that-were-giving-us-infection-porn-star-and-ex-girlfriend-maami-igbagbo-opens-up-on-why-she-left-him-video/</t>
  </si>
  <si>
    <t>/lyrics-mr-p-one-more-night-ft-niniola/</t>
  </si>
  <si>
    <t>/man-who-owes-a-network-provider-7500-naira-airtime-scores-145-in-jamb-exam-watch/</t>
  </si>
  <si>
    <t>/music-humblesmith-ft-phyno-oshinachi/</t>
  </si>
  <si>
    <t>/music-iyanya-ijeoma-ft-peruzzi/</t>
  </si>
  <si>
    <t>/music-simi-jamb-question-remix-ft-falz/</t>
  </si>
  <si>
    <t>/music-ycee-panda-cover/</t>
  </si>
  <si>
    <t>/new-music-olamide-science-student/</t>
  </si>
  <si>
    <t>/nigerian-lady-protruding-belly-button-goes-viral-proudly-shows-video/</t>
  </si>
  <si>
    <t>/paid-yams-chicken-feed-family-tim-godfrey-addresses-critics-charging-fees/</t>
  </si>
  <si>
    <t>/pastor-chris-oyakhilomes-ex-wife-hints-on-why-her-marriage-crashed/</t>
  </si>
  <si>
    <t>/police-arrest-man-for-alleged-rape-blackmail-year-old-girl-met-facebook/</t>
  </si>
  <si>
    <t>/slimcase-azaman-ft-2baba-peruzzi-dj-neptune-larry-gaaga-music/</t>
  </si>
  <si>
    <t>/stop-acting-mad-marks-internet-beauty-tukura-issues-stern-warning-troll/</t>
  </si>
  <si>
    <t>/teacher-arrested-allegedly-raping-6-year-old-pupil-school-toilet/</t>
  </si>
  <si>
    <t>/tiktok-star-bhadie-kelly-breaks-silence-following-alleged-adult-tape/</t>
  </si>
  <si>
    <t>/two-female-pilots-smiles-successful-trip-flying-abuja/</t>
  </si>
  <si>
    <t>/video-audio-kcee-agbomma/</t>
  </si>
  <si>
    <t>/video-wizkid-bad-to-me/</t>
  </si>
  <si>
    <t>/wife-sets-husbands-side-chic-up-by-inviting-her-over-and-then-beats-the-hell-out-of-her-video/</t>
  </si>
  <si>
    <t>/3-futo-students-die-female-student/</t>
  </si>
  <si>
    <t>/a-sachet-of-pure-water-is-n20-what-is-left-for-the-common-man-actor-walter-anga-cries-out/</t>
  </si>
  <si>
    <t>/adekunle-gold-before-you-wake-up-music/</t>
  </si>
  <si>
    <t>/annie-accuses-husband-2face-sharing-same-house-ex-babymama-pero-during-vacation/</t>
  </si>
  <si>
    <t>/bbnaija-hours-mom-dad-asked-people-shouldnt-slut-shame-angels-bare-butt-makes-grand-feature-social-media/</t>
  </si>
  <si>
    <t>/bride-confesses-pregnant-best-man-wedding-day/</t>
  </si>
  <si>
    <t>/chidiogo-akunyili-shares-emotional-post-following-the-brutal-murder-father-dr-chike-akunyili/</t>
  </si>
  <si>
    <t>/comedy-video-bro-vouche-agent-awilo-and-the-cameroun-couple/</t>
  </si>
  <si>
    <t>/comedy-video-mr-macaroni-elizabeth-the-terminator/</t>
  </si>
  <si>
    <t>/last-photos-taken-migos-rapper-takeoff-before-shot-dead-houston/</t>
  </si>
  <si>
    <t>/man-shares-mums-hilarious-aftermath-hitting-gym-get-flat-tummy-look-like-sweet-16-watch/</t>
  </si>
  <si>
    <t>/memes/</t>
  </si>
  <si>
    <t>/mortuary-attendant-caught-assaulting-ebonys-corpse/</t>
  </si>
  <si>
    <t>/much-danfo-affecting-daughter-nigerian-mum-reacts-spotting-toddler-holding-keke-napep-due-frequent-public-transport-usage-video/</t>
  </si>
  <si>
    <t>/music-2baba-important/</t>
  </si>
  <si>
    <t>/music-brymo-waka-waka/</t>
  </si>
  <si>
    <t>/music-buju-outside/</t>
  </si>
  <si>
    <t>/music-fabid-size-ft-erigga/</t>
  </si>
  <si>
    <t>/music-olamide-say-something/</t>
  </si>
  <si>
    <t>/new-music-orezi-x-tekno-whine-for-daddy/</t>
  </si>
  <si>
    <t>/oritse-femi-born-to-win-music/</t>
  </si>
  <si>
    <t>/page/2/</t>
  </si>
  <si>
    <t>/police-officer-caught-on-camera-assaulting-woman-and-calling-her-ashawo-in-enugu-video/</t>
  </si>
  <si>
    <t>/relationships/</t>
  </si>
  <si>
    <t>/senator-ned-nwokos-brother-chuks-nwoko-accuses-him-of-betrayal-and-bringing-shame-to-family/</t>
  </si>
  <si>
    <t>/sex-grades-imsu-lecturers-njoku-agomuo-caught-allegedly-trying-sleep-student/</t>
  </si>
  <si>
    <t>/slay-queen-teju-pretty-beaten-stripped-naked-allegedly-refusing-refund-n150k-debt-2020-video/</t>
  </si>
  <si>
    <t>/student-caught-getting-intimate-her-boyfriend-during-online-class-forgetting-turn-camera-video/</t>
  </si>
  <si>
    <t>/viral-photo-man-chilling-alone-middle-road-lekki-ikoyi-link-bridge/</t>
  </si>
  <si>
    <t>/write-for-us/</t>
  </si>
  <si>
    <t>/11-year-old-rape-victim-discharged-from-hospital-after-giving-birth-to-baby-boy-in-benue/</t>
  </si>
  <si>
    <t>/2015/12/video-korede-bello-ft-tiwa-savage-romantic/</t>
  </si>
  <si>
    <t>/63-year-old-nigerian-pastor-allegedly-marries-18-year-old-choir-member-second-wife/</t>
  </si>
  <si>
    <t>/8-photos-that-proves-makeup-is-witchcraft/</t>
  </si>
  <si>
    <t>/actress-tonto-dikeh-receives-cash-birthday-gift-from-her-friend/</t>
  </si>
  <si>
    <t>/author/abosede-busari/</t>
  </si>
  <si>
    <t>/billionaire-mike-adenugas-son-marries-secretly/</t>
  </si>
  <si>
    <t>/bobriskys-popular-gateman-jacob-reacts-arrest-video/</t>
  </si>
  <si>
    <t>/busty-lady-without-bra-dances-orezi-stage/</t>
  </si>
  <si>
    <t>/comedy-video-mark-angel-comedy-chef-wanted/</t>
  </si>
  <si>
    <t>/comedy-video-yawaskit-memory-loss/</t>
  </si>
  <si>
    <t>/deploy-sars-officers-to-borno-to-fight-boko-haram-governor-zulum-tells-igp/</t>
  </si>
  <si>
    <t>/dj-worldwide-ft-lil-kesh-young-jonn-savage-music/</t>
  </si>
  <si>
    <t>/fg-unveils-plans-break-guinness-world-record-worlds-longest-dining-table-abuja/</t>
  </si>
  <si>
    <t>/girl-slept-kingtblakhoc-feautred-videos-apologizes/</t>
  </si>
  <si>
    <t>/hold-10-years-son-shola-ogudu/</t>
  </si>
  <si>
    <t>/jesus-christ-fake-son-god-rev-bempah/</t>
  </si>
  <si>
    <t>/jjc-skillzs-baby-mama-threatens-expose-funke-akindele-photo-showing-faces-couples-twin-boys/</t>
  </si>
  <si>
    <t>/johnny-drille-still-the-one-cover-music/</t>
  </si>
  <si>
    <t>/loss-singer-omah-lay-knocks-ex-girlfriend-losing-streets-video/</t>
  </si>
  <si>
    <t>/lyrics-johnny-drille-ft-simi-halleluya/</t>
  </si>
  <si>
    <t>/man-who-slept-with-10-year-old-girl-and-bragged-about-it-on-facebook-has-been-arrested-photos/</t>
  </si>
  <si>
    <t>/moment-dad-dealt-daughter-after-catching-towel-two-boys-video/</t>
  </si>
  <si>
    <t>/music-adekunle-gold-before-you-wake-up-remix-ft-vanessa-mdee/</t>
  </si>
  <si>
    <t>/music-fireboy-dml-peru-remix-ft-ed-sheeran/</t>
  </si>
  <si>
    <t>/music-ice-prince-boss-prod-tekno/</t>
  </si>
  <si>
    <t>/music-orezi-ft-wizkid-timaya-ogede/</t>
  </si>
  <si>
    <t>/music-solidstar-wait-refix-ft-patoranking-tiwa-savage/</t>
  </si>
  <si>
    <t>/nigerian-lady-obianuju/</t>
  </si>
  <si>
    <t>/nigerian-skit-maker-nasobi-announces-he-will-be-taking-a-step-back-from-skitmaking-to-focus-on-his-music-career-video/</t>
  </si>
  <si>
    <t>/pantless-slay-queen-slammed-for-twerking-to-davidos-bumbum-song-in-toilet/</t>
  </si>
  <si>
    <t>/r2bees-ft-wizkid-supa-music/</t>
  </si>
  <si>
    <t>/runtown-oh-oh-oh-music/</t>
  </si>
  <si>
    <t>/school-girl-boy-uniforms-captured-engaging-seductive-moves-school-building-video/</t>
  </si>
  <si>
    <t>/see-shocking-reaction-lady-got-childhood-friend-telling-found-new-job-screenshots/</t>
  </si>
  <si>
    <t>/soldiers-seen-hiding-as-robbers-attacked-banks-and-carted-away-money-in-edo-state-video/</t>
  </si>
  <si>
    <t>/terry-apala-baca-music/</t>
  </si>
  <si>
    <t>/throwback-photos-voluptuous-social-media-influencer-ada-pinky-causes-massive-stir/</t>
  </si>
  <si>
    <t>/twin-sisters-pregnant-same-man/</t>
  </si>
  <si>
    <t>/ugandan-president-sparks-outrge-after-admitting-activists-were-detained-in-a-fridge/</t>
  </si>
  <si>
    <t>/video-young-jonn-xtra-cool/</t>
  </si>
  <si>
    <t>/yemi-alade-reveals-teenager-music-executives/</t>
  </si>
  <si>
    <t>/13-islamic-students-trouble-dancing-corner-class/</t>
  </si>
  <si>
    <t>Page_path_and_screen_class</t>
  </si>
  <si>
    <t>sessions</t>
  </si>
  <si>
    <t>views_per_session</t>
  </si>
  <si>
    <t>average_engagement_time_per_session</t>
  </si>
  <si>
    <t>average_spend_per_campaign_ngn</t>
  </si>
  <si>
    <t>facebook_views</t>
  </si>
  <si>
    <t>website_display_ads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</si>
</sst>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000000"/>
  </numFmts>
  <fonts count="9" x14ac:knownFonts="1">
    <font>
      <sz val="12"/>
      <color theme="1"/>
      <name val="Aptos Narrow"/>
      <family val="2"/>
      <scheme val="minor"/>
    </font>
    <font>
      <sz val="12"/>
      <color theme="1"/>
      <name val="Aptos Narrow"/>
      <family val="2"/>
      <scheme val="minor"/>
    </font>
    <font>
      <sz val="11"/>
      <color rgb="FF000000"/>
      <name val="Calibri"/>
      <family val="2"/>
    </font>
    <font>
      <sz val="12"/>
      <color rgb="FF000000"/>
      <name val="Calibri"/>
      <family val="2"/>
    </font>
    <font>
      <u/>
      <sz val="12"/>
      <color theme="10"/>
      <name val="Aptos Narrow"/>
      <family val="2"/>
      <scheme val="minor"/>
    </font>
    <font>
      <sz val="8"/>
      <name val="Aptos Narrow"/>
      <family val="2"/>
      <scheme val="minor"/>
    </font>
    <font>
      <sz val="12"/>
      <color rgb="FF000000"/>
      <name val="Aptos Narrow"/>
      <family val="2"/>
      <scheme val="minor"/>
    </font>
    <font>
      <b/>
      <sz val="12"/>
      <color theme="1"/>
      <name val="Aptos Narrow"/>
      <scheme val="minor"/>
    </font>
    <font>
      <b/>
      <sz val="11"/>
      <color theme="1"/>
      <name val="Aptos Narrow"/>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0" fontId="0" fillId="0" borderId="0" xfId="0" applyAlignment="1">
      <alignment wrapText="1"/>
    </xf>
    <xf numFmtId="3" fontId="0" fillId="0" borderId="0" xfId="0" applyNumberFormat="1"/>
    <xf numFmtId="0" fontId="2" fillId="0" borderId="0" xfId="0" applyFont="1" applyAlignment="1">
      <alignment vertical="center"/>
    </xf>
    <xf numFmtId="2" fontId="0" fillId="0" borderId="0" xfId="0" applyNumberFormat="1"/>
    <xf numFmtId="164" fontId="0" fillId="0" borderId="0" xfId="0" applyNumberFormat="1"/>
    <xf numFmtId="0" fontId="3" fillId="0" borderId="0" xfId="0" applyFont="1" applyAlignment="1">
      <alignment vertical="center"/>
    </xf>
    <xf numFmtId="164" fontId="3" fillId="0" borderId="0" xfId="0" applyNumberFormat="1" applyFont="1" applyAlignment="1">
      <alignment vertical="center"/>
    </xf>
    <xf numFmtId="1" fontId="0" fillId="0" borderId="0" xfId="0" applyNumberFormat="1" applyAlignment="1">
      <alignment wrapText="1"/>
    </xf>
    <xf numFmtId="1" fontId="3" fillId="0" borderId="0" xfId="0" applyNumberFormat="1" applyFont="1" applyAlignment="1">
      <alignment vertical="center"/>
    </xf>
    <xf numFmtId="1" fontId="0" fillId="0" borderId="0" xfId="0" applyNumberFormat="1"/>
    <xf numFmtId="0" fontId="0" fillId="2" borderId="1" xfId="0" applyFill="1" applyBorder="1"/>
    <xf numFmtId="0" fontId="0" fillId="0" borderId="1" xfId="0" applyBorder="1"/>
    <xf numFmtId="0" fontId="4" fillId="2" borderId="1" xfId="2" applyFill="1" applyBorder="1"/>
    <xf numFmtId="0" fontId="4" fillId="0" borderId="1" xfId="2" applyBorder="1"/>
    <xf numFmtId="14" fontId="0" fillId="0" borderId="0" xfId="0" applyNumberFormat="1" applyAlignment="1">
      <alignment horizontal="left" vertical="top"/>
    </xf>
    <xf numFmtId="17" fontId="0" fillId="0" borderId="0" xfId="0" applyNumberFormat="1"/>
    <xf numFmtId="43" fontId="0" fillId="0" borderId="0" xfId="1" applyFont="1"/>
    <xf numFmtId="2" fontId="0" fillId="0" borderId="0" xfId="1" applyNumberFormat="1" applyFont="1"/>
    <xf numFmtId="43" fontId="0" fillId="0" borderId="0" xfId="0" applyNumberFormat="1"/>
    <xf numFmtId="0" fontId="6" fillId="0" borderId="0" xfId="0" applyFont="1"/>
    <xf numFmtId="15" fontId="0" fillId="0" borderId="0" xfId="0" applyNumberFormat="1"/>
    <xf numFmtId="0" fontId="7" fillId="0" borderId="0" xfId="0" applyFont="1"/>
    <xf numFmtId="0" fontId="8" fillId="0" borderId="2" xfId="0" applyFont="1" applyBorder="1" applyAlignment="1">
      <alignment horizontal="center" vertical="top"/>
    </xf>
    <xf numFmtId="16" fontId="0" fillId="0" borderId="0" xfId="0" applyNumberFormat="1"/>
    <xf numFmtId="9" fontId="0" fillId="0" borderId="0" xfId="3" applyFont="1"/>
  </cellXfs>
  <cellStyles count="4">
    <cellStyle name="Comma" xfId="1" builtinId="3"/>
    <cellStyle name="Hyperlink" xfId="2" builtinId="8"/>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instagram.com/p/DUsDkB3jLoU/" TargetMode="External"/><Relationship Id="rId18" Type="http://schemas.openxmlformats.org/officeDocument/2006/relationships/hyperlink" Target="https://www.instagram.com/p/DPLPrQPjM8T/" TargetMode="External"/><Relationship Id="rId26" Type="http://schemas.openxmlformats.org/officeDocument/2006/relationships/hyperlink" Target="https://www.instagram.com/p/DV07m0oDDF4/" TargetMode="External"/><Relationship Id="rId39" Type="http://schemas.openxmlformats.org/officeDocument/2006/relationships/hyperlink" Target="https://www.instagram.com/p/DUzzbZIjAiU/" TargetMode="External"/><Relationship Id="rId21" Type="http://schemas.openxmlformats.org/officeDocument/2006/relationships/hyperlink" Target="https://www.instagram.com/p/DMF_qbFiU8I/" TargetMode="External"/><Relationship Id="rId34" Type="http://schemas.openxmlformats.org/officeDocument/2006/relationships/hyperlink" Target="https://www.instagram.com/reel/DMpC0t5imUt/" TargetMode="External"/><Relationship Id="rId42" Type="http://schemas.openxmlformats.org/officeDocument/2006/relationships/hyperlink" Target="https://www.instagram.com/p/DNF6dCZoJ1B/" TargetMode="External"/><Relationship Id="rId47" Type="http://schemas.openxmlformats.org/officeDocument/2006/relationships/hyperlink" Target="https://www.instagram.com/reel/DS0JEHtCJOK/" TargetMode="External"/><Relationship Id="rId7" Type="http://schemas.openxmlformats.org/officeDocument/2006/relationships/hyperlink" Target="https://www.instagram.com/reel/DMNyM2JIGaR/" TargetMode="External"/><Relationship Id="rId2" Type="http://schemas.openxmlformats.org/officeDocument/2006/relationships/hyperlink" Target="https://www.instagram.com/p/DQ3nK6RDBdX/" TargetMode="External"/><Relationship Id="rId16" Type="http://schemas.openxmlformats.org/officeDocument/2006/relationships/hyperlink" Target="https://www.instagram.com/p/DQ6FwqDjOx7/" TargetMode="External"/><Relationship Id="rId29" Type="http://schemas.openxmlformats.org/officeDocument/2006/relationships/hyperlink" Target="https://www.instagram.com/p/DV3PD1IDJ3Z/" TargetMode="External"/><Relationship Id="rId11" Type="http://schemas.openxmlformats.org/officeDocument/2006/relationships/hyperlink" Target="https://www.instagram.com/p/DMa3wnoCurB/" TargetMode="External"/><Relationship Id="rId24" Type="http://schemas.openxmlformats.org/officeDocument/2006/relationships/hyperlink" Target="https://www.instagram.com/p/DL0Fx9noBfn/" TargetMode="External"/><Relationship Id="rId32" Type="http://schemas.openxmlformats.org/officeDocument/2006/relationships/hyperlink" Target="https://www.instagram.com/p/DWMN6sSCEdV/" TargetMode="External"/><Relationship Id="rId37" Type="http://schemas.openxmlformats.org/officeDocument/2006/relationships/hyperlink" Target="https://www.instagram.com/p/DQ6_IhIjLJ4/" TargetMode="External"/><Relationship Id="rId40" Type="http://schemas.openxmlformats.org/officeDocument/2006/relationships/hyperlink" Target="https://www.instagram.com/p/DL_7Hvroomp/" TargetMode="External"/><Relationship Id="rId45" Type="http://schemas.openxmlformats.org/officeDocument/2006/relationships/hyperlink" Target="https://www.instagram.com/p/DJOJaUtihGV/" TargetMode="External"/><Relationship Id="rId5" Type="http://schemas.openxmlformats.org/officeDocument/2006/relationships/hyperlink" Target="https://www.instagram.com/p/DRwVcVTDI6a/" TargetMode="External"/><Relationship Id="rId15" Type="http://schemas.openxmlformats.org/officeDocument/2006/relationships/hyperlink" Target="https://www.instagram.com/p/DUQSaymDH2V/" TargetMode="External"/><Relationship Id="rId23" Type="http://schemas.openxmlformats.org/officeDocument/2006/relationships/hyperlink" Target="https://www.instagram.com/p/DVEEptujAPy/" TargetMode="External"/><Relationship Id="rId28" Type="http://schemas.openxmlformats.org/officeDocument/2006/relationships/hyperlink" Target="https://www.instagram.com/p/DTNppjQDC-O/" TargetMode="External"/><Relationship Id="rId36" Type="http://schemas.openxmlformats.org/officeDocument/2006/relationships/hyperlink" Target="https://www.instagram.com/reel/DMvThqZoC3i/" TargetMode="External"/><Relationship Id="rId49" Type="http://schemas.openxmlformats.org/officeDocument/2006/relationships/hyperlink" Target="https://www.instagram.com/p/DTKf5uNDHp2/" TargetMode="External"/><Relationship Id="rId10" Type="http://schemas.openxmlformats.org/officeDocument/2006/relationships/hyperlink" Target="https://www.instagram.com/p/DQ89rmAjLo8/" TargetMode="External"/><Relationship Id="rId19" Type="http://schemas.openxmlformats.org/officeDocument/2006/relationships/hyperlink" Target="https://www.instagram.com/p/DRwzzsYjI3s/" TargetMode="External"/><Relationship Id="rId31" Type="http://schemas.openxmlformats.org/officeDocument/2006/relationships/hyperlink" Target="https://www.instagram.com/p/DNQ1If-Ij52/" TargetMode="External"/><Relationship Id="rId44" Type="http://schemas.openxmlformats.org/officeDocument/2006/relationships/hyperlink" Target="https://www.instagram.com/p/DP0jq9vjNiH/" TargetMode="External"/><Relationship Id="rId4" Type="http://schemas.openxmlformats.org/officeDocument/2006/relationships/hyperlink" Target="https://www.instagram.com/p/DPPSv3BjEl-/" TargetMode="External"/><Relationship Id="rId9" Type="http://schemas.openxmlformats.org/officeDocument/2006/relationships/hyperlink" Target="https://www.instagram.com/p/DL28MUXIaFT/" TargetMode="External"/><Relationship Id="rId14" Type="http://schemas.openxmlformats.org/officeDocument/2006/relationships/hyperlink" Target="https://www.instagram.com/p/DPPT3M2jH7e/" TargetMode="External"/><Relationship Id="rId22" Type="http://schemas.openxmlformats.org/officeDocument/2006/relationships/hyperlink" Target="https://www.instagram.com/p/DJWCerZiJH0/" TargetMode="External"/><Relationship Id="rId27" Type="http://schemas.openxmlformats.org/officeDocument/2006/relationships/hyperlink" Target="https://www.instagram.com/p/DTzjJPVDC9Z/" TargetMode="External"/><Relationship Id="rId30" Type="http://schemas.openxmlformats.org/officeDocument/2006/relationships/hyperlink" Target="https://www.instagram.com/p/DVs55kADByi/" TargetMode="External"/><Relationship Id="rId35" Type="http://schemas.openxmlformats.org/officeDocument/2006/relationships/hyperlink" Target="https://www.instagram.com/p/DTvWaVYDDfy/" TargetMode="External"/><Relationship Id="rId43" Type="http://schemas.openxmlformats.org/officeDocument/2006/relationships/hyperlink" Target="https://www.instagram.com/reel/DP9F8agjOQq/" TargetMode="External"/><Relationship Id="rId48" Type="http://schemas.openxmlformats.org/officeDocument/2006/relationships/hyperlink" Target="https://www.instagram.com/p/DJXEyWVCO02/" TargetMode="External"/><Relationship Id="rId8" Type="http://schemas.openxmlformats.org/officeDocument/2006/relationships/hyperlink" Target="https://www.instagram.com/p/DMfT3vMIU4I/" TargetMode="External"/><Relationship Id="rId3" Type="http://schemas.openxmlformats.org/officeDocument/2006/relationships/hyperlink" Target="https://www.instagram.com/p/DRusJaQjGma/" TargetMode="External"/><Relationship Id="rId12" Type="http://schemas.openxmlformats.org/officeDocument/2006/relationships/hyperlink" Target="https://www.instagram.com/p/DUQIHrrCOAy/" TargetMode="External"/><Relationship Id="rId17" Type="http://schemas.openxmlformats.org/officeDocument/2006/relationships/hyperlink" Target="https://www.instagram.com/p/DXW8uCGjBf4/" TargetMode="External"/><Relationship Id="rId25" Type="http://schemas.openxmlformats.org/officeDocument/2006/relationships/hyperlink" Target="https://www.instagram.com/p/DNz7rsC0Npu/" TargetMode="External"/><Relationship Id="rId33" Type="http://schemas.openxmlformats.org/officeDocument/2006/relationships/hyperlink" Target="https://www.instagram.com/p/DQWvcotCH9x/" TargetMode="External"/><Relationship Id="rId38" Type="http://schemas.openxmlformats.org/officeDocument/2006/relationships/hyperlink" Target="https://www.instagram.com/p/DNsRYHcWBOm/" TargetMode="External"/><Relationship Id="rId46" Type="http://schemas.openxmlformats.org/officeDocument/2006/relationships/hyperlink" Target="https://www.instagram.com/p/DVA0LkkjCvk/" TargetMode="External"/><Relationship Id="rId20" Type="http://schemas.openxmlformats.org/officeDocument/2006/relationships/hyperlink" Target="https://www.instagram.com/p/DQrclmEDETf/" TargetMode="External"/><Relationship Id="rId41" Type="http://schemas.openxmlformats.org/officeDocument/2006/relationships/hyperlink" Target="https://www.instagram.com/p/DJlrHm5OO7M/" TargetMode="External"/><Relationship Id="rId1" Type="http://schemas.openxmlformats.org/officeDocument/2006/relationships/hyperlink" Target="https://www.instagram.com/p/DNm0C_TsRjt/" TargetMode="External"/><Relationship Id="rId6" Type="http://schemas.openxmlformats.org/officeDocument/2006/relationships/hyperlink" Target="https://www.instagram.com/p/DS7rak2iDT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8FA6-A241-C445-BC01-69FB40EE231D}">
  <dimension ref="A1:K41"/>
  <sheetViews>
    <sheetView zoomScale="184" workbookViewId="0">
      <selection activeCell="D2" sqref="D2:D40"/>
    </sheetView>
  </sheetViews>
  <sheetFormatPr baseColWidth="10" defaultRowHeight="16" x14ac:dyDescent="0.2"/>
  <cols>
    <col min="3" max="3" width="13" customWidth="1"/>
    <col min="7" max="7" width="22" customWidth="1"/>
    <col min="8" max="8" width="20.83203125" bestFit="1" customWidth="1"/>
  </cols>
  <sheetData>
    <row r="1" spans="1:11" x14ac:dyDescent="0.2">
      <c r="A1" t="s">
        <v>5</v>
      </c>
      <c r="B1" t="s">
        <v>6</v>
      </c>
      <c r="C1" t="s">
        <v>7</v>
      </c>
      <c r="D1" t="s">
        <v>0</v>
      </c>
      <c r="E1" t="s">
        <v>8</v>
      </c>
      <c r="F1" t="s">
        <v>9</v>
      </c>
      <c r="G1" t="s">
        <v>10</v>
      </c>
      <c r="H1" t="s">
        <v>11</v>
      </c>
      <c r="I1" t="s">
        <v>12</v>
      </c>
      <c r="J1" t="s">
        <v>13</v>
      </c>
    </row>
    <row r="2" spans="1:11" ht="20" customHeight="1" x14ac:dyDescent="0.2">
      <c r="A2" t="s">
        <v>16</v>
      </c>
      <c r="B2" s="1" t="s">
        <v>14</v>
      </c>
      <c r="C2" t="s">
        <v>15</v>
      </c>
      <c r="D2" s="22">
        <v>45105</v>
      </c>
      <c r="E2" s="11">
        <v>93332</v>
      </c>
      <c r="F2" s="11">
        <v>76515</v>
      </c>
      <c r="G2" s="6">
        <v>1.2197710282816601</v>
      </c>
      <c r="H2" s="6">
        <v>18.432641539024502</v>
      </c>
      <c r="I2" s="9">
        <v>267510</v>
      </c>
      <c r="K2" s="3"/>
    </row>
    <row r="3" spans="1:11" x14ac:dyDescent="0.2">
      <c r="A3" t="s">
        <v>17</v>
      </c>
      <c r="B3" t="s">
        <v>4</v>
      </c>
      <c r="C3" t="s">
        <v>15</v>
      </c>
      <c r="D3" s="22">
        <v>45105</v>
      </c>
      <c r="E3" s="11">
        <v>83904</v>
      </c>
      <c r="F3" s="10">
        <v>68261</v>
      </c>
      <c r="G3" s="8">
        <v>1.2291645302588501</v>
      </c>
      <c r="H3" s="8">
        <v>19.802039231772099</v>
      </c>
      <c r="I3" s="10">
        <v>240586</v>
      </c>
    </row>
    <row r="4" spans="1:11" x14ac:dyDescent="0.2">
      <c r="A4" t="s">
        <v>20</v>
      </c>
      <c r="B4" t="s">
        <v>18</v>
      </c>
      <c r="C4" t="s">
        <v>19</v>
      </c>
      <c r="D4" s="22">
        <v>45265</v>
      </c>
      <c r="E4" s="11">
        <v>52588</v>
      </c>
      <c r="F4" s="11">
        <v>25899</v>
      </c>
      <c r="G4" s="8">
        <v>2.03050310822811</v>
      </c>
      <c r="H4" s="8">
        <v>11.3550330128576</v>
      </c>
      <c r="I4" s="10">
        <v>110799</v>
      </c>
    </row>
    <row r="5" spans="1:11" x14ac:dyDescent="0.2">
      <c r="A5" s="7" t="s">
        <v>21</v>
      </c>
      <c r="B5" t="s">
        <v>22</v>
      </c>
      <c r="C5" t="s">
        <v>15</v>
      </c>
      <c r="D5" s="22">
        <v>45278</v>
      </c>
      <c r="E5" s="10">
        <v>45853</v>
      </c>
      <c r="F5" s="10">
        <v>22274</v>
      </c>
      <c r="G5" s="8">
        <v>2.05858848882104</v>
      </c>
      <c r="H5" s="8">
        <v>7.99151477058453</v>
      </c>
      <c r="I5" s="10">
        <v>94303</v>
      </c>
    </row>
    <row r="6" spans="1:11" x14ac:dyDescent="0.2">
      <c r="A6" t="s">
        <v>23</v>
      </c>
      <c r="B6" t="s">
        <v>24</v>
      </c>
      <c r="C6" t="s">
        <v>15</v>
      </c>
      <c r="D6" s="22">
        <v>45112</v>
      </c>
      <c r="E6" s="10">
        <v>41222</v>
      </c>
      <c r="F6" s="10">
        <v>29663</v>
      </c>
      <c r="G6" s="8">
        <v>1.3896773758554399</v>
      </c>
      <c r="H6" s="8">
        <v>14.592691231500501</v>
      </c>
      <c r="I6" s="10">
        <v>108110</v>
      </c>
    </row>
    <row r="7" spans="1:11" x14ac:dyDescent="0.2">
      <c r="A7" t="s">
        <v>25</v>
      </c>
      <c r="B7" t="s">
        <v>26</v>
      </c>
      <c r="C7" t="s">
        <v>15</v>
      </c>
      <c r="D7" s="22">
        <v>44939</v>
      </c>
      <c r="E7" s="10">
        <v>40966</v>
      </c>
      <c r="F7" s="10">
        <v>20203</v>
      </c>
      <c r="G7" s="8">
        <v>2.0277186556452</v>
      </c>
      <c r="H7" s="8">
        <v>8.2683264861654209</v>
      </c>
      <c r="I7" s="10">
        <v>84758</v>
      </c>
    </row>
    <row r="8" spans="1:11" x14ac:dyDescent="0.2">
      <c r="A8" t="s">
        <v>28</v>
      </c>
      <c r="B8" t="s">
        <v>27</v>
      </c>
      <c r="C8" t="s">
        <v>15</v>
      </c>
      <c r="D8" s="22">
        <v>45105</v>
      </c>
      <c r="E8" s="10">
        <v>34488</v>
      </c>
      <c r="F8" s="10">
        <v>22139</v>
      </c>
      <c r="G8" s="8">
        <v>1.5577939382989201</v>
      </c>
      <c r="H8" s="8">
        <v>47.6413117123628</v>
      </c>
      <c r="I8" s="10">
        <v>58703</v>
      </c>
    </row>
    <row r="9" spans="1:11" x14ac:dyDescent="0.2">
      <c r="A9" s="7" t="s">
        <v>30</v>
      </c>
      <c r="B9" t="s">
        <v>29</v>
      </c>
      <c r="D9" s="22">
        <v>45098</v>
      </c>
      <c r="E9" s="10">
        <v>25334</v>
      </c>
      <c r="F9" s="10">
        <v>19118</v>
      </c>
      <c r="G9" s="8">
        <v>1.3251386128256</v>
      </c>
      <c r="H9" s="8">
        <v>23.747201590124401</v>
      </c>
      <c r="I9" s="10">
        <v>70600</v>
      </c>
    </row>
    <row r="10" spans="1:11" x14ac:dyDescent="0.2">
      <c r="A10" s="7" t="s">
        <v>31</v>
      </c>
      <c r="C10" t="s">
        <v>32</v>
      </c>
      <c r="D10" s="22">
        <v>43063</v>
      </c>
      <c r="E10" s="10">
        <v>23438</v>
      </c>
      <c r="F10" s="10">
        <v>13412</v>
      </c>
      <c r="G10" s="8">
        <v>1.7475395168505801</v>
      </c>
      <c r="H10" s="8">
        <v>19.897032508201601</v>
      </c>
      <c r="I10" s="10">
        <v>67893</v>
      </c>
    </row>
    <row r="11" spans="1:11" x14ac:dyDescent="0.2">
      <c r="A11" t="s">
        <v>33</v>
      </c>
      <c r="B11" t="s">
        <v>34</v>
      </c>
      <c r="C11" t="s">
        <v>19</v>
      </c>
      <c r="D11" s="22">
        <v>45093</v>
      </c>
      <c r="E11" s="10">
        <v>22959</v>
      </c>
      <c r="F11" s="10">
        <v>20072</v>
      </c>
      <c r="G11" s="8">
        <v>1.1438322040653599</v>
      </c>
      <c r="H11" s="8">
        <v>24.491879234754801</v>
      </c>
      <c r="I11" s="10">
        <v>68431</v>
      </c>
    </row>
    <row r="12" spans="1:11" x14ac:dyDescent="0.2">
      <c r="A12" t="s">
        <v>35</v>
      </c>
      <c r="B12" t="s">
        <v>36</v>
      </c>
      <c r="C12" t="s">
        <v>15</v>
      </c>
      <c r="D12" s="22">
        <v>45107</v>
      </c>
      <c r="E12" s="10">
        <v>21086</v>
      </c>
      <c r="F12" s="10">
        <v>15182</v>
      </c>
      <c r="G12" s="8">
        <v>1.3888815702805899</v>
      </c>
      <c r="H12" s="8">
        <v>26.8493610854959</v>
      </c>
      <c r="I12" s="10">
        <v>54022</v>
      </c>
    </row>
    <row r="13" spans="1:11" x14ac:dyDescent="0.2">
      <c r="A13" t="s">
        <v>37</v>
      </c>
      <c r="B13" t="s">
        <v>38</v>
      </c>
      <c r="C13" t="s">
        <v>19</v>
      </c>
      <c r="D13" s="22">
        <v>45103</v>
      </c>
      <c r="E13" s="10">
        <v>20810</v>
      </c>
      <c r="F13" s="10">
        <v>15300</v>
      </c>
      <c r="G13" s="8">
        <v>1.36013071895424</v>
      </c>
      <c r="H13" s="8">
        <v>10.304575163398599</v>
      </c>
      <c r="I13" s="10">
        <v>57313</v>
      </c>
    </row>
    <row r="14" spans="1:11" x14ac:dyDescent="0.2">
      <c r="A14" t="s">
        <v>39</v>
      </c>
      <c r="B14" t="s">
        <v>40</v>
      </c>
      <c r="C14" t="s">
        <v>15</v>
      </c>
      <c r="D14" s="22">
        <v>46142</v>
      </c>
      <c r="E14" s="10">
        <v>10400</v>
      </c>
      <c r="F14" s="10">
        <v>9810</v>
      </c>
      <c r="G14" s="6">
        <v>1.12131442452356</v>
      </c>
      <c r="H14" s="6">
        <v>22.148920496700001</v>
      </c>
      <c r="I14" s="10">
        <v>48021</v>
      </c>
    </row>
    <row r="15" spans="1:11" x14ac:dyDescent="0.2">
      <c r="A15" t="s">
        <v>42</v>
      </c>
      <c r="B15" t="s">
        <v>41</v>
      </c>
      <c r="C15" t="s">
        <v>15</v>
      </c>
      <c r="D15" s="22">
        <v>46135</v>
      </c>
      <c r="E15" s="10">
        <v>18080</v>
      </c>
      <c r="F15" s="10">
        <v>14509</v>
      </c>
      <c r="G15" s="6">
        <v>1.2314909442342501</v>
      </c>
      <c r="H15" s="6">
        <v>12.90920139156</v>
      </c>
      <c r="I15" s="10">
        <v>44409</v>
      </c>
    </row>
    <row r="16" spans="1:11" x14ac:dyDescent="0.2">
      <c r="A16" t="s">
        <v>44</v>
      </c>
      <c r="B16" t="s">
        <v>43</v>
      </c>
      <c r="C16" t="s">
        <v>15</v>
      </c>
      <c r="D16" s="22">
        <v>46132</v>
      </c>
      <c r="E16" s="10">
        <v>12001</v>
      </c>
      <c r="F16" s="10">
        <v>9010</v>
      </c>
      <c r="G16" s="6">
        <v>1.30012913235245</v>
      </c>
      <c r="H16" s="6">
        <v>11.012931393456</v>
      </c>
      <c r="I16" s="10">
        <v>30901</v>
      </c>
    </row>
    <row r="17" spans="1:9" x14ac:dyDescent="0.2">
      <c r="A17" t="s">
        <v>45</v>
      </c>
      <c r="B17" t="s">
        <v>46</v>
      </c>
      <c r="C17" t="s">
        <v>47</v>
      </c>
      <c r="D17" s="22">
        <v>43918</v>
      </c>
      <c r="E17" s="10">
        <v>8100</v>
      </c>
      <c r="F17" s="10">
        <v>7131</v>
      </c>
      <c r="G17" s="6">
        <v>1.3234728234555599</v>
      </c>
      <c r="H17" s="6">
        <v>8.10001301464</v>
      </c>
      <c r="I17" s="10">
        <v>20101</v>
      </c>
    </row>
    <row r="18" spans="1:9" x14ac:dyDescent="0.2">
      <c r="A18" t="s">
        <v>49</v>
      </c>
      <c r="B18" t="s">
        <v>48</v>
      </c>
      <c r="C18" t="s">
        <v>50</v>
      </c>
      <c r="D18" s="22">
        <v>44810</v>
      </c>
      <c r="E18" s="10">
        <v>12013</v>
      </c>
      <c r="F18" s="10">
        <v>9103</v>
      </c>
      <c r="G18" s="6">
        <v>1.21342134554756</v>
      </c>
      <c r="H18" s="6">
        <v>10.32424532456</v>
      </c>
      <c r="I18" s="10">
        <v>30294</v>
      </c>
    </row>
    <row r="19" spans="1:9" x14ac:dyDescent="0.2">
      <c r="A19" t="s">
        <v>52</v>
      </c>
      <c r="B19" t="s">
        <v>51</v>
      </c>
      <c r="C19" t="s">
        <v>47</v>
      </c>
      <c r="D19" s="22">
        <v>44776</v>
      </c>
      <c r="E19" s="10">
        <v>8010</v>
      </c>
      <c r="F19" s="10">
        <v>5094</v>
      </c>
      <c r="G19" s="6">
        <v>1.10934420526746</v>
      </c>
      <c r="H19" s="6">
        <v>6.09234293245445</v>
      </c>
      <c r="I19" s="10">
        <v>20134</v>
      </c>
    </row>
    <row r="20" spans="1:9" x14ac:dyDescent="0.2">
      <c r="A20" s="7" t="s">
        <v>53</v>
      </c>
      <c r="B20" t="s">
        <v>57</v>
      </c>
      <c r="C20" t="s">
        <v>15</v>
      </c>
      <c r="D20" s="22">
        <v>45294</v>
      </c>
      <c r="E20" s="10">
        <v>19971</v>
      </c>
      <c r="F20" s="10">
        <v>10115</v>
      </c>
      <c r="G20" s="8">
        <v>1.9743944636678199</v>
      </c>
      <c r="H20" s="8">
        <v>14.8205635195254</v>
      </c>
      <c r="I20" s="10">
        <v>41248</v>
      </c>
    </row>
    <row r="21" spans="1:9" x14ac:dyDescent="0.2">
      <c r="A21" s="7" t="s">
        <v>54</v>
      </c>
      <c r="B21" t="s">
        <v>58</v>
      </c>
      <c r="C21" t="s">
        <v>47</v>
      </c>
      <c r="D21" s="22">
        <v>45327</v>
      </c>
      <c r="E21" s="10">
        <v>19009</v>
      </c>
      <c r="F21" s="10">
        <v>17110</v>
      </c>
      <c r="G21" s="8">
        <v>1.11098772647574</v>
      </c>
      <c r="H21" s="8">
        <v>12.1624196376388</v>
      </c>
      <c r="I21" s="10">
        <v>58555</v>
      </c>
    </row>
    <row r="22" spans="1:9" x14ac:dyDescent="0.2">
      <c r="A22" s="7" t="s">
        <v>55</v>
      </c>
      <c r="B22" t="s">
        <v>59</v>
      </c>
      <c r="C22" t="s">
        <v>15</v>
      </c>
      <c r="D22" s="22">
        <v>45473</v>
      </c>
      <c r="E22" s="10">
        <v>18186</v>
      </c>
      <c r="F22" s="10">
        <v>12326</v>
      </c>
      <c r="G22" s="8">
        <v>1.4754178159986999</v>
      </c>
      <c r="H22" s="8">
        <v>11.5576018172967</v>
      </c>
      <c r="I22" s="10">
        <v>45610</v>
      </c>
    </row>
    <row r="23" spans="1:9" x14ac:dyDescent="0.2">
      <c r="A23" s="7" t="s">
        <v>56</v>
      </c>
      <c r="B23" t="s">
        <v>60</v>
      </c>
      <c r="C23" t="s">
        <v>15</v>
      </c>
      <c r="D23" s="22">
        <v>45377</v>
      </c>
      <c r="E23" s="10">
        <v>18005</v>
      </c>
      <c r="F23" s="10">
        <v>15806</v>
      </c>
      <c r="G23" s="8">
        <v>1.1391243831456399</v>
      </c>
      <c r="H23" s="8">
        <v>18.9097810957864</v>
      </c>
      <c r="I23" s="10">
        <v>55084</v>
      </c>
    </row>
    <row r="24" spans="1:9" x14ac:dyDescent="0.2">
      <c r="A24" s="7" t="s">
        <v>61</v>
      </c>
      <c r="B24" t="s">
        <v>62</v>
      </c>
      <c r="C24" t="s">
        <v>15</v>
      </c>
      <c r="D24" s="22">
        <v>46193</v>
      </c>
      <c r="E24" s="10">
        <v>23399</v>
      </c>
      <c r="F24" s="10">
        <v>16847</v>
      </c>
      <c r="G24" s="8">
        <v>1.3889119724579999</v>
      </c>
      <c r="H24" s="8">
        <v>33.7789517421499</v>
      </c>
      <c r="I24" s="10">
        <v>60103</v>
      </c>
    </row>
    <row r="25" spans="1:9" x14ac:dyDescent="0.2">
      <c r="A25" s="7" t="s">
        <v>63</v>
      </c>
      <c r="B25" t="s">
        <v>79</v>
      </c>
      <c r="C25" t="s">
        <v>15</v>
      </c>
      <c r="D25" s="22">
        <v>45182</v>
      </c>
      <c r="E25" s="10">
        <v>17628</v>
      </c>
      <c r="F25" s="10">
        <v>12853</v>
      </c>
      <c r="G25" s="8">
        <v>1.3715085972146499</v>
      </c>
      <c r="H25" s="8">
        <v>19.547031821364602</v>
      </c>
      <c r="I25" s="10">
        <v>45102</v>
      </c>
    </row>
    <row r="26" spans="1:9" x14ac:dyDescent="0.2">
      <c r="A26" s="7" t="s">
        <v>64</v>
      </c>
      <c r="B26" t="s">
        <v>80</v>
      </c>
      <c r="C26" t="s">
        <v>15</v>
      </c>
      <c r="D26" s="22">
        <v>45107</v>
      </c>
      <c r="E26" s="10">
        <v>17469</v>
      </c>
      <c r="F26" s="10">
        <v>11273</v>
      </c>
      <c r="G26" s="8">
        <v>1.54963186374523</v>
      </c>
      <c r="H26" s="8">
        <v>27.793843697329901</v>
      </c>
      <c r="I26" s="10">
        <v>41919</v>
      </c>
    </row>
    <row r="27" spans="1:9" x14ac:dyDescent="0.2">
      <c r="A27" s="7" t="s">
        <v>65</v>
      </c>
      <c r="B27" t="s">
        <v>81</v>
      </c>
      <c r="C27" t="s">
        <v>82</v>
      </c>
      <c r="D27" s="22">
        <v>45184</v>
      </c>
      <c r="E27" s="10">
        <v>17256</v>
      </c>
      <c r="F27" s="10">
        <v>8355</v>
      </c>
      <c r="G27" s="8">
        <v>2.0653500897666</v>
      </c>
      <c r="H27" s="8">
        <v>8.5107121484141199</v>
      </c>
      <c r="I27" s="10">
        <v>31744</v>
      </c>
    </row>
    <row r="28" spans="1:9" x14ac:dyDescent="0.2">
      <c r="A28" s="7" t="s">
        <v>66</v>
      </c>
      <c r="C28" t="s">
        <v>83</v>
      </c>
      <c r="D28" s="22">
        <v>45036</v>
      </c>
      <c r="E28" s="10">
        <v>16471</v>
      </c>
      <c r="F28" s="10">
        <v>9815</v>
      </c>
      <c r="G28" s="8">
        <v>1.67814569536423</v>
      </c>
      <c r="H28" s="8">
        <v>25.498726439123701</v>
      </c>
      <c r="I28" s="10">
        <v>49019</v>
      </c>
    </row>
    <row r="29" spans="1:9" x14ac:dyDescent="0.2">
      <c r="A29" s="7" t="s">
        <v>67</v>
      </c>
      <c r="B29" t="s">
        <v>84</v>
      </c>
      <c r="C29" t="s">
        <v>19</v>
      </c>
      <c r="D29" s="22">
        <v>45323</v>
      </c>
      <c r="E29" s="10">
        <v>16374</v>
      </c>
      <c r="F29" s="10">
        <v>13953</v>
      </c>
      <c r="G29" s="8">
        <v>1.17351107288755</v>
      </c>
      <c r="H29" s="8">
        <v>12.1199741990969</v>
      </c>
      <c r="I29" s="10">
        <v>49600</v>
      </c>
    </row>
    <row r="30" spans="1:9" x14ac:dyDescent="0.2">
      <c r="A30" s="7" t="s">
        <v>68</v>
      </c>
      <c r="B30" t="s">
        <v>85</v>
      </c>
      <c r="C30" t="s">
        <v>47</v>
      </c>
      <c r="D30" s="22">
        <v>45096</v>
      </c>
      <c r="E30" s="10">
        <v>15828</v>
      </c>
      <c r="F30" s="10">
        <v>11569</v>
      </c>
      <c r="G30" s="8">
        <v>1.36813899213415</v>
      </c>
      <c r="H30" s="8">
        <v>58.987466505315901</v>
      </c>
      <c r="I30" s="10">
        <v>41036</v>
      </c>
    </row>
    <row r="31" spans="1:9" x14ac:dyDescent="0.2">
      <c r="A31" s="7" t="s">
        <v>69</v>
      </c>
      <c r="B31" t="s">
        <v>86</v>
      </c>
      <c r="C31" t="s">
        <v>15</v>
      </c>
      <c r="D31" s="22">
        <v>45399</v>
      </c>
      <c r="E31" s="10">
        <v>15794</v>
      </c>
      <c r="F31" s="10">
        <v>13127</v>
      </c>
      <c r="G31" s="8">
        <v>1.20316904090805</v>
      </c>
      <c r="H31" s="8">
        <v>14.670221680505801</v>
      </c>
      <c r="I31" s="10">
        <v>46154</v>
      </c>
    </row>
    <row r="32" spans="1:9" x14ac:dyDescent="0.2">
      <c r="A32" s="7" t="s">
        <v>70</v>
      </c>
      <c r="B32" t="s">
        <v>87</v>
      </c>
      <c r="C32" t="s">
        <v>15</v>
      </c>
      <c r="D32" s="22">
        <v>45105</v>
      </c>
      <c r="E32" s="10">
        <v>15758</v>
      </c>
      <c r="F32" s="10">
        <v>8736</v>
      </c>
      <c r="G32" s="8">
        <v>1.8038003663003599</v>
      </c>
      <c r="H32" s="8">
        <v>40.216918498168397</v>
      </c>
      <c r="I32" s="10">
        <v>17387</v>
      </c>
    </row>
    <row r="33" spans="1:9" x14ac:dyDescent="0.2">
      <c r="A33" s="7" t="s">
        <v>71</v>
      </c>
      <c r="B33" t="s">
        <v>88</v>
      </c>
      <c r="C33" t="s">
        <v>15</v>
      </c>
      <c r="D33" s="22">
        <v>45376</v>
      </c>
      <c r="E33" s="10">
        <v>15703</v>
      </c>
      <c r="F33" s="10">
        <v>13960</v>
      </c>
      <c r="G33" s="8">
        <v>1.12485673352435</v>
      </c>
      <c r="H33" s="8">
        <v>10.363681948424</v>
      </c>
      <c r="I33" s="10">
        <v>47619</v>
      </c>
    </row>
    <row r="34" spans="1:9" x14ac:dyDescent="0.2">
      <c r="A34" s="7" t="s">
        <v>72</v>
      </c>
      <c r="B34" t="s">
        <v>89</v>
      </c>
      <c r="C34" t="s">
        <v>15</v>
      </c>
      <c r="D34" s="22">
        <v>45472</v>
      </c>
      <c r="E34" s="10">
        <v>15140</v>
      </c>
      <c r="F34" s="10">
        <v>7999</v>
      </c>
      <c r="G34" s="8">
        <v>1.892736592074</v>
      </c>
      <c r="H34" s="8">
        <v>12.4563070383797</v>
      </c>
      <c r="I34" s="10">
        <v>28337</v>
      </c>
    </row>
    <row r="35" spans="1:9" x14ac:dyDescent="0.2">
      <c r="A35" s="7" t="s">
        <v>73</v>
      </c>
      <c r="B35" t="s">
        <v>90</v>
      </c>
      <c r="C35" t="s">
        <v>19</v>
      </c>
      <c r="D35" s="22">
        <v>45111</v>
      </c>
      <c r="E35" s="10">
        <v>14994</v>
      </c>
      <c r="F35" s="10">
        <v>11595</v>
      </c>
      <c r="G35" s="8">
        <v>1.29314359637774</v>
      </c>
      <c r="H35" s="8">
        <v>14.4566623544631</v>
      </c>
      <c r="I35" s="10">
        <v>42573</v>
      </c>
    </row>
    <row r="36" spans="1:9" x14ac:dyDescent="0.2">
      <c r="A36" s="7" t="s">
        <v>74</v>
      </c>
      <c r="B36" t="s">
        <v>91</v>
      </c>
      <c r="C36" t="s">
        <v>15</v>
      </c>
      <c r="D36" s="22">
        <v>45378</v>
      </c>
      <c r="E36" s="10">
        <v>14840</v>
      </c>
      <c r="F36" s="10">
        <v>12793</v>
      </c>
      <c r="G36" s="8">
        <v>1.16000938012975</v>
      </c>
      <c r="H36" s="8">
        <v>10.2726491049792</v>
      </c>
      <c r="I36" s="10">
        <v>45033</v>
      </c>
    </row>
    <row r="37" spans="1:9" x14ac:dyDescent="0.2">
      <c r="A37" s="7" t="s">
        <v>95</v>
      </c>
      <c r="B37" t="s">
        <v>94</v>
      </c>
      <c r="D37" s="22">
        <v>46143</v>
      </c>
      <c r="E37" s="10">
        <v>56020</v>
      </c>
      <c r="F37" s="10">
        <v>40101</v>
      </c>
      <c r="G37" s="8">
        <v>1.42341423535345</v>
      </c>
      <c r="H37" s="8">
        <v>11.350234253453401</v>
      </c>
      <c r="I37" s="10">
        <v>104204</v>
      </c>
    </row>
    <row r="38" spans="1:9" x14ac:dyDescent="0.2">
      <c r="A38" s="7" t="s">
        <v>75</v>
      </c>
      <c r="B38" t="s">
        <v>92</v>
      </c>
      <c r="C38" t="s">
        <v>15</v>
      </c>
      <c r="D38" s="22">
        <v>45093</v>
      </c>
      <c r="E38" s="10">
        <v>14535</v>
      </c>
      <c r="F38" s="10">
        <v>12631</v>
      </c>
      <c r="G38" s="8">
        <v>1.1507402422610999</v>
      </c>
      <c r="H38" s="8">
        <v>13.5277491885044</v>
      </c>
      <c r="I38" s="10">
        <v>42156</v>
      </c>
    </row>
    <row r="39" spans="1:9" x14ac:dyDescent="0.2">
      <c r="A39" s="7" t="s">
        <v>76</v>
      </c>
      <c r="B39" t="s">
        <v>93</v>
      </c>
      <c r="C39" t="s">
        <v>15</v>
      </c>
      <c r="D39" s="22">
        <v>45414</v>
      </c>
      <c r="E39" s="10">
        <v>14276</v>
      </c>
      <c r="F39" s="10">
        <v>11451</v>
      </c>
      <c r="G39" s="8">
        <v>1.24670334468605</v>
      </c>
      <c r="H39" s="8">
        <v>12.7614182167496</v>
      </c>
      <c r="I39" s="10">
        <v>41174</v>
      </c>
    </row>
    <row r="40" spans="1:9" x14ac:dyDescent="0.2">
      <c r="A40" s="7" t="s">
        <v>78</v>
      </c>
      <c r="B40" t="s">
        <v>77</v>
      </c>
      <c r="C40" t="s">
        <v>15</v>
      </c>
      <c r="D40" s="22">
        <v>45181</v>
      </c>
      <c r="E40" s="11">
        <v>67020</v>
      </c>
      <c r="F40" s="11">
        <v>65020</v>
      </c>
      <c r="G40" s="6">
        <v>1.92002343245342</v>
      </c>
      <c r="H40" s="6">
        <v>19.234213452345202</v>
      </c>
      <c r="I40" s="11">
        <v>209020</v>
      </c>
    </row>
    <row r="41" spans="1:9" x14ac:dyDescent="0.2">
      <c r="A4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3AFB-CBF6-6241-A118-B4BB96564624}">
  <dimension ref="A1:O62"/>
  <sheetViews>
    <sheetView topLeftCell="B1" zoomScale="158" workbookViewId="0">
      <selection activeCell="B1" sqref="B1:O1"/>
    </sheetView>
  </sheetViews>
  <sheetFormatPr baseColWidth="10" defaultRowHeight="16" x14ac:dyDescent="0.2"/>
  <cols>
    <col min="1" max="1" width="14.83203125" customWidth="1"/>
    <col min="2" max="2" width="22.5" customWidth="1"/>
    <col min="3" max="3" width="18.6640625" customWidth="1"/>
    <col min="4" max="4" width="15" customWidth="1"/>
    <col min="11" max="11" width="16" customWidth="1"/>
    <col min="12" max="12" width="13.5" customWidth="1"/>
  </cols>
  <sheetData>
    <row r="1" spans="1:15" x14ac:dyDescent="0.2">
      <c r="A1" t="s">
        <v>96</v>
      </c>
      <c r="B1" t="s">
        <v>97</v>
      </c>
      <c r="C1" t="s">
        <v>7</v>
      </c>
      <c r="D1" t="s">
        <v>2</v>
      </c>
      <c r="E1" t="s">
        <v>8</v>
      </c>
      <c r="F1" t="s">
        <v>98</v>
      </c>
      <c r="G1" t="s">
        <v>106</v>
      </c>
      <c r="H1" t="s">
        <v>100</v>
      </c>
      <c r="I1" t="s">
        <v>101</v>
      </c>
      <c r="J1" t="s">
        <v>107</v>
      </c>
      <c r="K1" t="s">
        <v>3</v>
      </c>
      <c r="L1" t="s">
        <v>13</v>
      </c>
      <c r="M1" t="s">
        <v>105</v>
      </c>
      <c r="O1" t="s">
        <v>295</v>
      </c>
    </row>
    <row r="2" spans="1:15" x14ac:dyDescent="0.2">
      <c r="A2" s="16" t="s">
        <v>297</v>
      </c>
      <c r="B2" t="s">
        <v>111</v>
      </c>
      <c r="C2" t="s">
        <v>171</v>
      </c>
      <c r="D2" t="s">
        <v>108</v>
      </c>
      <c r="E2">
        <v>12426122</v>
      </c>
      <c r="F2">
        <v>7370899</v>
      </c>
      <c r="G2">
        <v>106920</v>
      </c>
      <c r="H2">
        <v>3474</v>
      </c>
      <c r="I2">
        <v>9220</v>
      </c>
      <c r="J2">
        <v>7684</v>
      </c>
      <c r="K2">
        <f>((G2+H2+I2+J2)/F2)*100</f>
        <v>1.7270349247764758</v>
      </c>
      <c r="M2" t="s">
        <v>233</v>
      </c>
      <c r="O2" s="14" t="s">
        <v>172</v>
      </c>
    </row>
    <row r="3" spans="1:15" x14ac:dyDescent="0.2">
      <c r="A3" s="16">
        <v>45941</v>
      </c>
      <c r="B3" t="s">
        <v>112</v>
      </c>
      <c r="C3" t="s">
        <v>171</v>
      </c>
      <c r="D3" t="s">
        <v>109</v>
      </c>
      <c r="E3">
        <v>53503934</v>
      </c>
      <c r="F3">
        <v>6789219</v>
      </c>
      <c r="G3">
        <v>119347</v>
      </c>
      <c r="H3">
        <v>1781</v>
      </c>
      <c r="I3">
        <v>8921</v>
      </c>
      <c r="J3">
        <v>5176</v>
      </c>
      <c r="K3">
        <f t="shared" ref="K3:K62" si="0">((G3+H3+I3+J3)/F3)*100</f>
        <v>1.9917607607001631</v>
      </c>
      <c r="M3" t="s">
        <v>234</v>
      </c>
      <c r="O3" s="15" t="s">
        <v>173</v>
      </c>
    </row>
    <row r="4" spans="1:15" x14ac:dyDescent="0.2">
      <c r="A4" s="16" t="s">
        <v>316</v>
      </c>
      <c r="B4" t="s">
        <v>113</v>
      </c>
      <c r="C4" t="s">
        <v>171</v>
      </c>
      <c r="D4" t="s">
        <v>108</v>
      </c>
      <c r="E4">
        <v>4439379</v>
      </c>
      <c r="F4">
        <v>5034332</v>
      </c>
      <c r="G4">
        <v>47712</v>
      </c>
      <c r="H4">
        <v>2097</v>
      </c>
      <c r="I4">
        <v>18412</v>
      </c>
      <c r="J4">
        <v>2054</v>
      </c>
      <c r="K4">
        <f t="shared" si="0"/>
        <v>1.3959150886353939</v>
      </c>
      <c r="M4" t="s">
        <v>235</v>
      </c>
      <c r="O4" s="12" t="s">
        <v>174</v>
      </c>
    </row>
    <row r="5" spans="1:15" x14ac:dyDescent="0.2">
      <c r="A5" s="16" t="s">
        <v>298</v>
      </c>
      <c r="B5" t="s">
        <v>114</v>
      </c>
      <c r="C5" t="s">
        <v>171</v>
      </c>
      <c r="D5" t="s">
        <v>108</v>
      </c>
      <c r="E5">
        <v>6451873</v>
      </c>
      <c r="F5">
        <v>4917265</v>
      </c>
      <c r="G5">
        <v>76832</v>
      </c>
      <c r="H5">
        <v>6646</v>
      </c>
      <c r="I5">
        <v>21078</v>
      </c>
      <c r="J5">
        <v>0</v>
      </c>
      <c r="K5">
        <f t="shared" si="0"/>
        <v>2.1263039514852258</v>
      </c>
      <c r="M5" t="s">
        <v>236</v>
      </c>
      <c r="O5" s="13" t="s">
        <v>175</v>
      </c>
    </row>
    <row r="6" spans="1:15" x14ac:dyDescent="0.2">
      <c r="A6" s="16" t="s">
        <v>299</v>
      </c>
      <c r="B6" t="s">
        <v>115</v>
      </c>
      <c r="C6" t="s">
        <v>171</v>
      </c>
      <c r="D6" t="s">
        <v>108</v>
      </c>
      <c r="E6">
        <v>24092884</v>
      </c>
      <c r="F6">
        <v>4814774</v>
      </c>
      <c r="G6">
        <v>32978</v>
      </c>
      <c r="H6">
        <v>635</v>
      </c>
      <c r="I6">
        <v>3572</v>
      </c>
      <c r="J6">
        <v>1207</v>
      </c>
      <c r="K6">
        <f t="shared" si="0"/>
        <v>0.79737906701332195</v>
      </c>
      <c r="M6" t="s">
        <v>237</v>
      </c>
      <c r="O6" s="12" t="s">
        <v>176</v>
      </c>
    </row>
    <row r="7" spans="1:15" x14ac:dyDescent="0.2">
      <c r="A7" s="16" t="s">
        <v>296</v>
      </c>
      <c r="B7" t="s">
        <v>116</v>
      </c>
      <c r="C7" t="s">
        <v>171</v>
      </c>
      <c r="D7" t="s">
        <v>108</v>
      </c>
      <c r="E7">
        <v>7668147</v>
      </c>
      <c r="F7">
        <v>4563537</v>
      </c>
      <c r="G7">
        <v>88832</v>
      </c>
      <c r="H7">
        <v>6360</v>
      </c>
      <c r="I7">
        <v>10589</v>
      </c>
      <c r="J7">
        <v>8199</v>
      </c>
      <c r="K7">
        <f t="shared" si="0"/>
        <v>2.4976241016562373</v>
      </c>
      <c r="M7" t="s">
        <v>238</v>
      </c>
      <c r="O7" s="13" t="s">
        <v>177</v>
      </c>
    </row>
    <row r="8" spans="1:15" x14ac:dyDescent="0.2">
      <c r="A8" s="16" t="s">
        <v>300</v>
      </c>
      <c r="B8" t="s">
        <v>117</v>
      </c>
      <c r="C8" t="s">
        <v>171</v>
      </c>
      <c r="D8" t="s">
        <v>108</v>
      </c>
      <c r="E8">
        <v>6859751</v>
      </c>
      <c r="F8">
        <v>4288497</v>
      </c>
      <c r="G8">
        <v>43580</v>
      </c>
      <c r="H8">
        <v>3607</v>
      </c>
      <c r="I8">
        <v>9625</v>
      </c>
      <c r="J8">
        <v>1717</v>
      </c>
      <c r="K8">
        <f t="shared" si="0"/>
        <v>1.3647905081896992</v>
      </c>
      <c r="M8" t="s">
        <v>239</v>
      </c>
      <c r="O8" s="12" t="s">
        <v>178</v>
      </c>
    </row>
    <row r="9" spans="1:15" x14ac:dyDescent="0.2">
      <c r="A9" s="16" t="s">
        <v>301</v>
      </c>
      <c r="C9" t="s">
        <v>171</v>
      </c>
      <c r="D9" t="s">
        <v>109</v>
      </c>
      <c r="E9">
        <v>5770831</v>
      </c>
      <c r="F9">
        <v>3572479</v>
      </c>
      <c r="G9">
        <v>55099</v>
      </c>
      <c r="H9">
        <v>382</v>
      </c>
      <c r="I9">
        <v>1753</v>
      </c>
      <c r="J9">
        <v>1981</v>
      </c>
      <c r="K9">
        <f t="shared" si="0"/>
        <v>1.6575324865450574</v>
      </c>
      <c r="M9" t="s">
        <v>240</v>
      </c>
      <c r="O9" s="13" t="s">
        <v>179</v>
      </c>
    </row>
    <row r="10" spans="1:15" x14ac:dyDescent="0.2">
      <c r="A10" s="16" t="s">
        <v>302</v>
      </c>
      <c r="B10" t="s">
        <v>118</v>
      </c>
      <c r="C10" t="s">
        <v>171</v>
      </c>
      <c r="D10" t="s">
        <v>108</v>
      </c>
      <c r="E10">
        <v>13885716</v>
      </c>
      <c r="F10">
        <v>3554200</v>
      </c>
      <c r="G10">
        <v>121768</v>
      </c>
      <c r="H10">
        <v>1118</v>
      </c>
      <c r="I10">
        <v>8381</v>
      </c>
      <c r="J10">
        <v>5059</v>
      </c>
      <c r="K10">
        <f t="shared" si="0"/>
        <v>3.8356310843509087</v>
      </c>
      <c r="M10" t="s">
        <v>241</v>
      </c>
      <c r="O10" s="12" t="s">
        <v>180</v>
      </c>
    </row>
    <row r="11" spans="1:15" x14ac:dyDescent="0.2">
      <c r="A11" s="16" t="s">
        <v>303</v>
      </c>
      <c r="B11" t="s">
        <v>119</v>
      </c>
      <c r="C11" t="s">
        <v>171</v>
      </c>
      <c r="D11" t="s">
        <v>108</v>
      </c>
      <c r="E11">
        <v>5856617</v>
      </c>
      <c r="F11">
        <v>3453804</v>
      </c>
      <c r="G11">
        <v>84469</v>
      </c>
      <c r="H11">
        <v>5045</v>
      </c>
      <c r="I11">
        <v>19406</v>
      </c>
      <c r="J11">
        <v>3902</v>
      </c>
      <c r="K11">
        <f t="shared" si="0"/>
        <v>3.2666011157552659</v>
      </c>
      <c r="M11" t="s">
        <v>242</v>
      </c>
      <c r="O11" s="13" t="s">
        <v>181</v>
      </c>
    </row>
    <row r="12" spans="1:15" x14ac:dyDescent="0.2">
      <c r="A12" s="16" t="s">
        <v>304</v>
      </c>
      <c r="B12" t="s">
        <v>120</v>
      </c>
      <c r="C12" t="s">
        <v>171</v>
      </c>
      <c r="D12" t="s">
        <v>108</v>
      </c>
      <c r="E12">
        <v>3999200</v>
      </c>
      <c r="F12">
        <v>2970095</v>
      </c>
      <c r="G12">
        <v>88196</v>
      </c>
      <c r="H12">
        <v>2467</v>
      </c>
      <c r="I12">
        <v>3170</v>
      </c>
      <c r="J12">
        <v>0</v>
      </c>
      <c r="K12">
        <f t="shared" si="0"/>
        <v>3.1592592156143158</v>
      </c>
      <c r="M12" t="s">
        <v>243</v>
      </c>
      <c r="O12" s="12" t="s">
        <v>182</v>
      </c>
    </row>
    <row r="13" spans="1:15" x14ac:dyDescent="0.2">
      <c r="A13" s="16">
        <v>45662</v>
      </c>
      <c r="B13" t="s">
        <v>121</v>
      </c>
      <c r="C13" t="s">
        <v>171</v>
      </c>
      <c r="D13" t="s">
        <v>108</v>
      </c>
      <c r="E13">
        <v>4383856</v>
      </c>
      <c r="F13">
        <v>2832970</v>
      </c>
      <c r="G13">
        <v>66774</v>
      </c>
      <c r="H13">
        <v>1347</v>
      </c>
      <c r="I13">
        <v>417</v>
      </c>
      <c r="J13">
        <v>1918</v>
      </c>
      <c r="K13">
        <f t="shared" si="0"/>
        <v>2.487001274281055</v>
      </c>
      <c r="M13" t="s">
        <v>244</v>
      </c>
      <c r="O13" s="13" t="s">
        <v>183</v>
      </c>
    </row>
    <row r="14" spans="1:15" x14ac:dyDescent="0.2">
      <c r="A14" s="16">
        <v>45693</v>
      </c>
      <c r="B14" t="s">
        <v>122</v>
      </c>
      <c r="C14" t="s">
        <v>171</v>
      </c>
      <c r="D14" t="s">
        <v>108</v>
      </c>
      <c r="E14">
        <v>4451330</v>
      </c>
      <c r="F14">
        <v>2785129</v>
      </c>
      <c r="G14">
        <v>66125</v>
      </c>
      <c r="H14">
        <v>4260</v>
      </c>
      <c r="I14">
        <v>9943</v>
      </c>
      <c r="J14">
        <v>6276</v>
      </c>
      <c r="K14">
        <f t="shared" si="0"/>
        <v>3.1095148555057954</v>
      </c>
      <c r="M14" t="s">
        <v>245</v>
      </c>
      <c r="O14" s="12" t="s">
        <v>184</v>
      </c>
    </row>
    <row r="15" spans="1:15" x14ac:dyDescent="0.2">
      <c r="A15" s="16">
        <v>45669</v>
      </c>
      <c r="B15" t="s">
        <v>123</v>
      </c>
      <c r="C15" t="s">
        <v>171</v>
      </c>
      <c r="D15" t="s">
        <v>108</v>
      </c>
      <c r="E15">
        <v>4971827</v>
      </c>
      <c r="F15">
        <v>2762337</v>
      </c>
      <c r="G15">
        <v>45896</v>
      </c>
      <c r="H15">
        <v>481</v>
      </c>
      <c r="I15">
        <v>824</v>
      </c>
      <c r="J15">
        <v>1288</v>
      </c>
      <c r="K15">
        <f t="shared" si="0"/>
        <v>1.7553614928229249</v>
      </c>
      <c r="M15" t="s">
        <v>246</v>
      </c>
      <c r="O15" s="15" t="s">
        <v>185</v>
      </c>
    </row>
    <row r="16" spans="1:15" x14ac:dyDescent="0.2">
      <c r="A16" s="16" t="s">
        <v>305</v>
      </c>
      <c r="B16" t="s">
        <v>124</v>
      </c>
      <c r="C16" t="s">
        <v>171</v>
      </c>
      <c r="D16" t="s">
        <v>108</v>
      </c>
      <c r="E16">
        <v>4518378</v>
      </c>
      <c r="F16">
        <v>2751927</v>
      </c>
      <c r="G16">
        <v>43812</v>
      </c>
      <c r="H16">
        <v>421</v>
      </c>
      <c r="I16">
        <v>1585</v>
      </c>
      <c r="J16">
        <v>701</v>
      </c>
      <c r="K16">
        <f t="shared" si="0"/>
        <v>1.690415479771084</v>
      </c>
      <c r="M16" t="s">
        <v>247</v>
      </c>
      <c r="O16" s="14" t="s">
        <v>186</v>
      </c>
    </row>
    <row r="17" spans="1:15" x14ac:dyDescent="0.2">
      <c r="A17" s="16">
        <v>45700</v>
      </c>
      <c r="B17" t="s">
        <v>125</v>
      </c>
      <c r="C17" t="s">
        <v>171</v>
      </c>
      <c r="D17" t="s">
        <v>108</v>
      </c>
      <c r="E17">
        <v>8013248</v>
      </c>
      <c r="F17">
        <v>2727173</v>
      </c>
      <c r="G17">
        <v>47745</v>
      </c>
      <c r="H17">
        <v>1963</v>
      </c>
      <c r="I17">
        <v>4989</v>
      </c>
      <c r="J17">
        <v>1179</v>
      </c>
      <c r="K17">
        <f t="shared" si="0"/>
        <v>2.0488615867053537</v>
      </c>
      <c r="M17" t="s">
        <v>248</v>
      </c>
      <c r="O17" s="15" t="s">
        <v>187</v>
      </c>
    </row>
    <row r="18" spans="1:15" x14ac:dyDescent="0.2">
      <c r="A18" s="16">
        <v>46174</v>
      </c>
      <c r="B18" t="s">
        <v>126</v>
      </c>
      <c r="C18" t="s">
        <v>171</v>
      </c>
      <c r="D18" t="s">
        <v>109</v>
      </c>
      <c r="E18">
        <v>4977672</v>
      </c>
      <c r="F18">
        <v>2691861</v>
      </c>
      <c r="G18">
        <v>21114</v>
      </c>
      <c r="H18">
        <v>288</v>
      </c>
      <c r="I18">
        <v>405</v>
      </c>
      <c r="J18">
        <v>621</v>
      </c>
      <c r="K18">
        <f t="shared" si="0"/>
        <v>0.83317823617192721</v>
      </c>
      <c r="M18" t="s">
        <v>249</v>
      </c>
      <c r="O18" s="14" t="s">
        <v>188</v>
      </c>
    </row>
    <row r="19" spans="1:15" x14ac:dyDescent="0.2">
      <c r="A19" s="16" t="s">
        <v>306</v>
      </c>
      <c r="B19" t="s">
        <v>127</v>
      </c>
      <c r="C19" t="s">
        <v>171</v>
      </c>
      <c r="D19" t="s">
        <v>108</v>
      </c>
      <c r="E19">
        <v>4675636</v>
      </c>
      <c r="F19">
        <v>2672561</v>
      </c>
      <c r="G19">
        <v>51060</v>
      </c>
      <c r="H19">
        <v>4276</v>
      </c>
      <c r="I19">
        <v>939</v>
      </c>
      <c r="J19">
        <v>0</v>
      </c>
      <c r="K19">
        <f t="shared" si="0"/>
        <v>2.1056582057434796</v>
      </c>
      <c r="M19" t="s">
        <v>250</v>
      </c>
      <c r="O19" s="15" t="s">
        <v>189</v>
      </c>
    </row>
    <row r="20" spans="1:15" x14ac:dyDescent="0.2">
      <c r="A20" s="16" t="s">
        <v>296</v>
      </c>
      <c r="B20" t="s">
        <v>128</v>
      </c>
      <c r="C20" t="s">
        <v>171</v>
      </c>
      <c r="D20" t="s">
        <v>110</v>
      </c>
      <c r="E20">
        <v>3830976</v>
      </c>
      <c r="F20">
        <v>2621456</v>
      </c>
      <c r="G20">
        <v>261752</v>
      </c>
      <c r="H20">
        <v>32187</v>
      </c>
      <c r="I20">
        <v>71015</v>
      </c>
      <c r="J20">
        <v>0</v>
      </c>
      <c r="K20">
        <f t="shared" si="0"/>
        <v>13.921805286832967</v>
      </c>
      <c r="M20" t="s">
        <v>251</v>
      </c>
      <c r="O20" s="14" t="s">
        <v>190</v>
      </c>
    </row>
    <row r="21" spans="1:15" x14ac:dyDescent="0.2">
      <c r="A21" s="16" t="s">
        <v>307</v>
      </c>
      <c r="B21" t="s">
        <v>129</v>
      </c>
      <c r="C21" t="s">
        <v>171</v>
      </c>
      <c r="D21" t="s">
        <v>108</v>
      </c>
      <c r="E21">
        <v>3282500</v>
      </c>
      <c r="F21">
        <v>2612662</v>
      </c>
      <c r="G21">
        <v>50781</v>
      </c>
      <c r="H21">
        <v>612</v>
      </c>
      <c r="I21">
        <v>1242</v>
      </c>
      <c r="J21">
        <v>0</v>
      </c>
      <c r="K21">
        <f t="shared" si="0"/>
        <v>2.0146119168878331</v>
      </c>
      <c r="M21" t="s">
        <v>252</v>
      </c>
      <c r="O21" s="15" t="s">
        <v>191</v>
      </c>
    </row>
    <row r="22" spans="1:15" x14ac:dyDescent="0.2">
      <c r="A22" s="16">
        <v>45876</v>
      </c>
      <c r="B22" t="s">
        <v>130</v>
      </c>
      <c r="C22" t="s">
        <v>171</v>
      </c>
      <c r="D22" t="s">
        <v>108</v>
      </c>
      <c r="E22">
        <v>3030742</v>
      </c>
      <c r="F22">
        <v>2529840</v>
      </c>
      <c r="G22">
        <v>54488</v>
      </c>
      <c r="H22">
        <v>1968</v>
      </c>
      <c r="I22">
        <v>7249</v>
      </c>
      <c r="J22">
        <v>0</v>
      </c>
      <c r="K22">
        <f t="shared" si="0"/>
        <v>2.5181434399013378</v>
      </c>
      <c r="M22" t="s">
        <v>253</v>
      </c>
      <c r="O22" s="14" t="s">
        <v>192</v>
      </c>
    </row>
    <row r="23" spans="1:15" x14ac:dyDescent="0.2">
      <c r="A23" s="16">
        <v>46002</v>
      </c>
      <c r="B23" t="s">
        <v>131</v>
      </c>
      <c r="C23" t="s">
        <v>171</v>
      </c>
      <c r="D23" t="s">
        <v>108</v>
      </c>
      <c r="E23">
        <v>3994010</v>
      </c>
      <c r="F23">
        <v>2365720</v>
      </c>
      <c r="G23">
        <v>23955</v>
      </c>
      <c r="H23">
        <v>2827</v>
      </c>
      <c r="I23">
        <v>7897</v>
      </c>
      <c r="J23">
        <v>4100</v>
      </c>
      <c r="K23">
        <f t="shared" si="0"/>
        <v>1.639204977765754</v>
      </c>
      <c r="M23" t="s">
        <v>254</v>
      </c>
      <c r="O23" s="15" t="s">
        <v>193</v>
      </c>
    </row>
    <row r="24" spans="1:15" x14ac:dyDescent="0.2">
      <c r="A24" s="16" t="s">
        <v>308</v>
      </c>
      <c r="B24" t="s">
        <v>132</v>
      </c>
      <c r="C24" t="s">
        <v>15</v>
      </c>
      <c r="D24" t="s">
        <v>108</v>
      </c>
      <c r="E24">
        <v>4007169</v>
      </c>
      <c r="F24">
        <v>2344492</v>
      </c>
      <c r="G24">
        <v>119719</v>
      </c>
      <c r="H24">
        <v>1819</v>
      </c>
      <c r="I24">
        <v>1148</v>
      </c>
      <c r="J24">
        <v>1936</v>
      </c>
      <c r="K24">
        <f t="shared" si="0"/>
        <v>5.3155225097803704</v>
      </c>
      <c r="M24" t="s">
        <v>255</v>
      </c>
      <c r="O24" s="14" t="s">
        <v>194</v>
      </c>
    </row>
    <row r="25" spans="1:15" x14ac:dyDescent="0.2">
      <c r="A25" s="16">
        <v>46055</v>
      </c>
      <c r="B25" t="s">
        <v>133</v>
      </c>
      <c r="C25" t="s">
        <v>171</v>
      </c>
      <c r="D25" t="s">
        <v>108</v>
      </c>
      <c r="E25">
        <v>4060837</v>
      </c>
      <c r="F25">
        <v>2315022</v>
      </c>
      <c r="G25">
        <v>66327</v>
      </c>
      <c r="H25">
        <v>4937</v>
      </c>
      <c r="I25">
        <v>1986</v>
      </c>
      <c r="J25">
        <v>0</v>
      </c>
      <c r="K25">
        <f t="shared" si="0"/>
        <v>3.1641167988900323</v>
      </c>
      <c r="M25" t="s">
        <v>256</v>
      </c>
      <c r="O25" s="15" t="s">
        <v>195</v>
      </c>
    </row>
    <row r="26" spans="1:15" x14ac:dyDescent="0.2">
      <c r="A26" s="16">
        <v>46358</v>
      </c>
      <c r="B26" t="s">
        <v>134</v>
      </c>
      <c r="C26" t="s">
        <v>171</v>
      </c>
      <c r="D26" t="s">
        <v>108</v>
      </c>
      <c r="E26">
        <v>2178551</v>
      </c>
      <c r="F26">
        <v>2313425</v>
      </c>
      <c r="G26">
        <v>18039</v>
      </c>
      <c r="H26">
        <v>804</v>
      </c>
      <c r="I26">
        <v>19381</v>
      </c>
      <c r="J26">
        <v>4759</v>
      </c>
      <c r="K26">
        <f t="shared" si="0"/>
        <v>1.8579811318715758</v>
      </c>
      <c r="M26" t="s">
        <v>257</v>
      </c>
      <c r="O26" s="14" t="s">
        <v>196</v>
      </c>
    </row>
    <row r="27" spans="1:15" x14ac:dyDescent="0.2">
      <c r="A27" s="16" t="s">
        <v>305</v>
      </c>
      <c r="B27" t="s">
        <v>135</v>
      </c>
      <c r="C27" t="s">
        <v>171</v>
      </c>
      <c r="D27" t="s">
        <v>108</v>
      </c>
      <c r="E27">
        <v>3839708</v>
      </c>
      <c r="F27">
        <v>2242835</v>
      </c>
      <c r="G27">
        <v>46085</v>
      </c>
      <c r="H27">
        <v>1589</v>
      </c>
      <c r="I27">
        <v>1014</v>
      </c>
      <c r="J27">
        <v>656</v>
      </c>
      <c r="K27">
        <f t="shared" si="0"/>
        <v>2.2000726758767364</v>
      </c>
      <c r="M27" t="s">
        <v>258</v>
      </c>
      <c r="O27" s="15" t="s">
        <v>197</v>
      </c>
    </row>
    <row r="28" spans="1:15" x14ac:dyDescent="0.2">
      <c r="A28" s="16">
        <v>46055</v>
      </c>
      <c r="B28" t="s">
        <v>136</v>
      </c>
      <c r="C28" t="s">
        <v>171</v>
      </c>
      <c r="D28" t="s">
        <v>109</v>
      </c>
      <c r="E28">
        <v>3239520</v>
      </c>
      <c r="F28">
        <v>2214487</v>
      </c>
      <c r="G28">
        <v>71633</v>
      </c>
      <c r="H28">
        <v>1801</v>
      </c>
      <c r="I28">
        <v>3203</v>
      </c>
      <c r="J28">
        <v>3058</v>
      </c>
      <c r="K28">
        <f t="shared" si="0"/>
        <v>3.5988018895572655</v>
      </c>
      <c r="M28" t="s">
        <v>259</v>
      </c>
      <c r="O28" s="14" t="s">
        <v>198</v>
      </c>
    </row>
    <row r="29" spans="1:15" x14ac:dyDescent="0.2">
      <c r="A29" s="16">
        <v>45941</v>
      </c>
      <c r="B29" t="s">
        <v>137</v>
      </c>
      <c r="C29" t="s">
        <v>171</v>
      </c>
      <c r="D29" t="s">
        <v>108</v>
      </c>
      <c r="E29">
        <v>24151553</v>
      </c>
      <c r="F29">
        <v>2209688</v>
      </c>
      <c r="G29">
        <v>98281</v>
      </c>
      <c r="H29">
        <v>20692</v>
      </c>
      <c r="I29">
        <v>27492</v>
      </c>
      <c r="J29">
        <v>7504</v>
      </c>
      <c r="K29">
        <f t="shared" si="0"/>
        <v>6.967906781409865</v>
      </c>
      <c r="M29" t="s">
        <v>260</v>
      </c>
      <c r="O29" s="15" t="s">
        <v>199</v>
      </c>
    </row>
    <row r="30" spans="1:15" x14ac:dyDescent="0.2">
      <c r="A30" s="16" t="s">
        <v>309</v>
      </c>
      <c r="B30" t="s">
        <v>138</v>
      </c>
      <c r="C30" t="s">
        <v>171</v>
      </c>
      <c r="D30" t="s">
        <v>108</v>
      </c>
      <c r="E30">
        <v>3495776</v>
      </c>
      <c r="F30">
        <v>2170022</v>
      </c>
      <c r="G30">
        <v>93828</v>
      </c>
      <c r="H30">
        <v>2369</v>
      </c>
      <c r="I30">
        <v>2291</v>
      </c>
      <c r="J30">
        <v>2261</v>
      </c>
      <c r="K30">
        <f t="shared" si="0"/>
        <v>4.6427639904111571</v>
      </c>
      <c r="M30" t="s">
        <v>261</v>
      </c>
      <c r="O30" s="14" t="s">
        <v>200</v>
      </c>
    </row>
    <row r="31" spans="1:15" x14ac:dyDescent="0.2">
      <c r="A31" s="16" t="s">
        <v>310</v>
      </c>
      <c r="B31" t="s">
        <v>139</v>
      </c>
      <c r="C31" t="s">
        <v>171</v>
      </c>
      <c r="D31" t="s">
        <v>109</v>
      </c>
      <c r="E31">
        <v>3755898</v>
      </c>
      <c r="F31">
        <v>2128457</v>
      </c>
      <c r="G31">
        <v>35742</v>
      </c>
      <c r="H31">
        <v>1253</v>
      </c>
      <c r="I31">
        <v>3781</v>
      </c>
      <c r="J31">
        <v>1369</v>
      </c>
      <c r="K31">
        <f t="shared" si="0"/>
        <v>1.9800728884821257</v>
      </c>
      <c r="M31" t="s">
        <v>262</v>
      </c>
      <c r="O31" s="15" t="s">
        <v>201</v>
      </c>
    </row>
    <row r="32" spans="1:15" x14ac:dyDescent="0.2">
      <c r="A32" s="16">
        <v>45700</v>
      </c>
      <c r="B32" t="s">
        <v>140</v>
      </c>
      <c r="C32" t="s">
        <v>171</v>
      </c>
      <c r="D32" t="s">
        <v>109</v>
      </c>
      <c r="E32">
        <v>1700638</v>
      </c>
      <c r="F32">
        <v>2054144</v>
      </c>
      <c r="G32">
        <v>126840</v>
      </c>
      <c r="H32">
        <v>9613</v>
      </c>
      <c r="I32">
        <v>138236</v>
      </c>
      <c r="J32">
        <v>5591</v>
      </c>
      <c r="K32">
        <f t="shared" si="0"/>
        <v>13.644613035892322</v>
      </c>
      <c r="M32" t="s">
        <v>263</v>
      </c>
      <c r="O32" s="14" t="s">
        <v>202</v>
      </c>
    </row>
    <row r="33" spans="1:15" x14ac:dyDescent="0.2">
      <c r="A33" s="16">
        <v>45788</v>
      </c>
      <c r="B33" t="s">
        <v>141</v>
      </c>
      <c r="C33" t="s">
        <v>171</v>
      </c>
      <c r="D33" t="s">
        <v>108</v>
      </c>
      <c r="E33">
        <v>15389607</v>
      </c>
      <c r="F33">
        <v>2039065</v>
      </c>
      <c r="G33">
        <v>32063</v>
      </c>
      <c r="H33">
        <v>687</v>
      </c>
      <c r="I33">
        <v>2448</v>
      </c>
      <c r="J33">
        <v>1373</v>
      </c>
      <c r="K33">
        <f t="shared" si="0"/>
        <v>1.7935181075640061</v>
      </c>
      <c r="M33" t="s">
        <v>264</v>
      </c>
      <c r="O33" s="15" t="s">
        <v>203</v>
      </c>
    </row>
    <row r="34" spans="1:15" x14ac:dyDescent="0.2">
      <c r="A34" s="16" t="s">
        <v>311</v>
      </c>
      <c r="B34" t="s">
        <v>142</v>
      </c>
      <c r="C34" t="s">
        <v>171</v>
      </c>
      <c r="D34" t="s">
        <v>108</v>
      </c>
      <c r="E34">
        <v>3458875</v>
      </c>
      <c r="F34">
        <v>2025335</v>
      </c>
      <c r="G34">
        <v>156836</v>
      </c>
      <c r="H34">
        <v>2084</v>
      </c>
      <c r="I34">
        <v>5708</v>
      </c>
      <c r="J34">
        <v>4159</v>
      </c>
      <c r="K34">
        <f t="shared" si="0"/>
        <v>8.3337818188102215</v>
      </c>
      <c r="M34" t="s">
        <v>265</v>
      </c>
      <c r="O34" s="14" t="s">
        <v>204</v>
      </c>
    </row>
    <row r="35" spans="1:15" x14ac:dyDescent="0.2">
      <c r="A35" s="16">
        <v>45843</v>
      </c>
      <c r="B35" t="s">
        <v>143</v>
      </c>
      <c r="C35" t="s">
        <v>171</v>
      </c>
      <c r="D35" t="s">
        <v>108</v>
      </c>
      <c r="E35">
        <v>3200547</v>
      </c>
      <c r="F35">
        <v>1982862</v>
      </c>
      <c r="G35">
        <v>65365</v>
      </c>
      <c r="H35">
        <v>4916</v>
      </c>
      <c r="I35">
        <v>32940</v>
      </c>
      <c r="J35">
        <v>5352</v>
      </c>
      <c r="K35">
        <f t="shared" si="0"/>
        <v>5.4755701607070995</v>
      </c>
      <c r="M35" t="s">
        <v>266</v>
      </c>
      <c r="O35" s="15" t="s">
        <v>205</v>
      </c>
    </row>
    <row r="36" spans="1:15" x14ac:dyDescent="0.2">
      <c r="A36" s="16" t="s">
        <v>312</v>
      </c>
      <c r="B36" t="s">
        <v>144</v>
      </c>
      <c r="C36" t="s">
        <v>171</v>
      </c>
      <c r="D36" t="s">
        <v>109</v>
      </c>
      <c r="E36">
        <v>3033042</v>
      </c>
      <c r="F36">
        <v>1968377</v>
      </c>
      <c r="G36">
        <v>24704</v>
      </c>
      <c r="H36">
        <v>863</v>
      </c>
      <c r="I36">
        <v>9011</v>
      </c>
      <c r="J36">
        <v>1855</v>
      </c>
      <c r="K36">
        <f t="shared" si="0"/>
        <v>1.8509157544515102</v>
      </c>
      <c r="M36" t="s">
        <v>267</v>
      </c>
      <c r="O36" s="14" t="s">
        <v>206</v>
      </c>
    </row>
    <row r="37" spans="1:15" x14ac:dyDescent="0.2">
      <c r="A37" s="16">
        <v>45845</v>
      </c>
      <c r="B37" t="s">
        <v>145</v>
      </c>
      <c r="C37" t="s">
        <v>171</v>
      </c>
      <c r="D37" t="s">
        <v>108</v>
      </c>
      <c r="E37">
        <v>2509834</v>
      </c>
      <c r="F37">
        <v>1949037</v>
      </c>
      <c r="G37">
        <v>40825</v>
      </c>
      <c r="H37">
        <v>1350</v>
      </c>
      <c r="I37">
        <v>825</v>
      </c>
      <c r="J37">
        <v>0</v>
      </c>
      <c r="K37">
        <f t="shared" si="0"/>
        <v>2.2062177372723042</v>
      </c>
      <c r="M37" t="s">
        <v>268</v>
      </c>
      <c r="O37" s="15" t="s">
        <v>207</v>
      </c>
    </row>
    <row r="38" spans="1:15" x14ac:dyDescent="0.2">
      <c r="A38" s="16" t="s">
        <v>313</v>
      </c>
      <c r="B38" t="s">
        <v>146</v>
      </c>
      <c r="C38" t="s">
        <v>171</v>
      </c>
      <c r="D38" t="s">
        <v>108</v>
      </c>
      <c r="E38">
        <v>3656690</v>
      </c>
      <c r="F38">
        <v>1915334</v>
      </c>
      <c r="G38">
        <v>55048</v>
      </c>
      <c r="H38">
        <v>4711</v>
      </c>
      <c r="I38">
        <v>13888</v>
      </c>
      <c r="J38">
        <v>0</v>
      </c>
      <c r="K38">
        <f t="shared" si="0"/>
        <v>3.8451257065347346</v>
      </c>
      <c r="M38" t="s">
        <v>269</v>
      </c>
      <c r="O38" s="14" t="s">
        <v>208</v>
      </c>
    </row>
    <row r="39" spans="1:15" x14ac:dyDescent="0.2">
      <c r="A39" s="16" t="s">
        <v>314</v>
      </c>
      <c r="B39" t="s">
        <v>147</v>
      </c>
      <c r="C39" t="s">
        <v>171</v>
      </c>
      <c r="D39" t="s">
        <v>108</v>
      </c>
      <c r="E39">
        <v>3070029</v>
      </c>
      <c r="F39">
        <v>1914565</v>
      </c>
      <c r="G39">
        <v>38874</v>
      </c>
      <c r="H39">
        <v>1845</v>
      </c>
      <c r="I39">
        <v>4571</v>
      </c>
      <c r="J39">
        <v>4116</v>
      </c>
      <c r="K39">
        <f t="shared" si="0"/>
        <v>2.5805339594111456</v>
      </c>
      <c r="M39" t="s">
        <v>270</v>
      </c>
      <c r="O39" s="15" t="s">
        <v>209</v>
      </c>
    </row>
    <row r="40" spans="1:15" x14ac:dyDescent="0.2">
      <c r="A40" s="16">
        <v>45998</v>
      </c>
      <c r="B40" t="s">
        <v>148</v>
      </c>
      <c r="C40" t="s">
        <v>171</v>
      </c>
      <c r="D40" t="s">
        <v>110</v>
      </c>
      <c r="E40">
        <v>2899458</v>
      </c>
      <c r="F40">
        <v>1866474</v>
      </c>
      <c r="G40">
        <v>171024</v>
      </c>
      <c r="H40">
        <v>2103</v>
      </c>
      <c r="I40">
        <v>119273</v>
      </c>
      <c r="J40">
        <v>0</v>
      </c>
      <c r="K40">
        <f t="shared" si="0"/>
        <v>15.665902659238757</v>
      </c>
      <c r="M40" t="s">
        <v>271</v>
      </c>
      <c r="O40" s="12" t="s">
        <v>210</v>
      </c>
    </row>
    <row r="41" spans="1:15" x14ac:dyDescent="0.2">
      <c r="A41" s="16" t="s">
        <v>315</v>
      </c>
      <c r="B41" t="s">
        <v>149</v>
      </c>
      <c r="C41" t="s">
        <v>171</v>
      </c>
      <c r="D41" t="s">
        <v>108</v>
      </c>
      <c r="E41">
        <v>3147130</v>
      </c>
      <c r="F41">
        <v>1855839</v>
      </c>
      <c r="G41">
        <v>52836</v>
      </c>
      <c r="H41">
        <v>2413</v>
      </c>
      <c r="I41">
        <v>1316</v>
      </c>
      <c r="J41">
        <v>2389</v>
      </c>
      <c r="K41">
        <f t="shared" si="0"/>
        <v>3.1766764250562685</v>
      </c>
      <c r="M41" t="s">
        <v>272</v>
      </c>
      <c r="O41" s="15" t="s">
        <v>211</v>
      </c>
    </row>
    <row r="42" spans="1:15" x14ac:dyDescent="0.2">
      <c r="A42" s="16">
        <v>46204</v>
      </c>
      <c r="B42" t="s">
        <v>150</v>
      </c>
      <c r="C42" t="s">
        <v>171</v>
      </c>
      <c r="D42" t="s">
        <v>108</v>
      </c>
      <c r="E42">
        <v>3127758</v>
      </c>
      <c r="F42">
        <v>1805597</v>
      </c>
      <c r="G42">
        <v>35738</v>
      </c>
      <c r="H42">
        <v>1704</v>
      </c>
      <c r="I42">
        <v>3503</v>
      </c>
      <c r="J42">
        <v>1449</v>
      </c>
      <c r="K42">
        <f t="shared" si="0"/>
        <v>2.3479214907867036</v>
      </c>
      <c r="M42" t="s">
        <v>273</v>
      </c>
      <c r="O42" s="14" t="s">
        <v>212</v>
      </c>
    </row>
    <row r="43" spans="1:15" x14ac:dyDescent="0.2">
      <c r="A43" s="16" t="s">
        <v>316</v>
      </c>
      <c r="B43" t="s">
        <v>151</v>
      </c>
      <c r="C43" t="s">
        <v>171</v>
      </c>
      <c r="D43" t="s">
        <v>109</v>
      </c>
      <c r="E43">
        <v>3150969</v>
      </c>
      <c r="F43">
        <v>1787774</v>
      </c>
      <c r="G43">
        <v>124952</v>
      </c>
      <c r="H43">
        <v>756</v>
      </c>
      <c r="I43">
        <v>1709</v>
      </c>
      <c r="J43">
        <v>2069</v>
      </c>
      <c r="K43">
        <f t="shared" si="0"/>
        <v>7.2428617934929136</v>
      </c>
      <c r="M43" t="s">
        <v>274</v>
      </c>
      <c r="O43" s="15" t="s">
        <v>213</v>
      </c>
    </row>
    <row r="44" spans="1:15" x14ac:dyDescent="0.2">
      <c r="A44" s="16">
        <v>46298</v>
      </c>
      <c r="B44" t="s">
        <v>152</v>
      </c>
      <c r="C44" t="s">
        <v>171</v>
      </c>
      <c r="D44" t="s">
        <v>109</v>
      </c>
      <c r="E44">
        <v>2683982</v>
      </c>
      <c r="F44">
        <v>1740229</v>
      </c>
      <c r="G44">
        <v>18784</v>
      </c>
      <c r="H44">
        <v>1144</v>
      </c>
      <c r="I44">
        <v>869</v>
      </c>
      <c r="J44">
        <v>577</v>
      </c>
      <c r="K44">
        <f t="shared" si="0"/>
        <v>1.2282291583464016</v>
      </c>
      <c r="M44" t="s">
        <v>275</v>
      </c>
      <c r="O44" s="14" t="s">
        <v>214</v>
      </c>
    </row>
    <row r="45" spans="1:15" x14ac:dyDescent="0.2">
      <c r="A45" s="16">
        <v>45999</v>
      </c>
      <c r="B45" t="s">
        <v>153</v>
      </c>
      <c r="C45" t="s">
        <v>171</v>
      </c>
      <c r="D45" t="s">
        <v>108</v>
      </c>
      <c r="E45">
        <v>3251173</v>
      </c>
      <c r="F45">
        <v>1721879</v>
      </c>
      <c r="G45">
        <v>45377</v>
      </c>
      <c r="H45">
        <v>4769</v>
      </c>
      <c r="I45">
        <v>12396</v>
      </c>
      <c r="J45">
        <v>0</v>
      </c>
      <c r="K45">
        <f t="shared" si="0"/>
        <v>3.632194829021087</v>
      </c>
      <c r="M45" t="s">
        <v>276</v>
      </c>
      <c r="O45" s="15" t="s">
        <v>215</v>
      </c>
    </row>
    <row r="46" spans="1:15" x14ac:dyDescent="0.2">
      <c r="A46" s="16" t="s">
        <v>317</v>
      </c>
      <c r="B46" t="s">
        <v>154</v>
      </c>
      <c r="C46" t="s">
        <v>171</v>
      </c>
      <c r="D46" t="s">
        <v>108</v>
      </c>
      <c r="E46">
        <v>3015082</v>
      </c>
      <c r="F46">
        <v>1718359</v>
      </c>
      <c r="G46">
        <v>40239</v>
      </c>
      <c r="H46">
        <v>9294</v>
      </c>
      <c r="I46">
        <v>14990</v>
      </c>
      <c r="J46">
        <v>0</v>
      </c>
      <c r="K46">
        <f t="shared" si="0"/>
        <v>3.7549196646335257</v>
      </c>
      <c r="M46" t="s">
        <v>277</v>
      </c>
      <c r="O46" s="14" t="s">
        <v>216</v>
      </c>
    </row>
    <row r="47" spans="1:15" x14ac:dyDescent="0.2">
      <c r="A47" s="16" t="s">
        <v>318</v>
      </c>
      <c r="B47" t="s">
        <v>155</v>
      </c>
      <c r="C47" t="s">
        <v>171</v>
      </c>
      <c r="D47" t="s">
        <v>109</v>
      </c>
      <c r="E47">
        <v>16102041</v>
      </c>
      <c r="F47">
        <v>1649347</v>
      </c>
      <c r="G47">
        <v>68889</v>
      </c>
      <c r="H47">
        <v>1462</v>
      </c>
      <c r="I47">
        <v>5063</v>
      </c>
      <c r="J47">
        <v>4861</v>
      </c>
      <c r="K47">
        <f t="shared" si="0"/>
        <v>4.8670776980223085</v>
      </c>
      <c r="M47" t="s">
        <v>278</v>
      </c>
      <c r="O47" s="15" t="s">
        <v>217</v>
      </c>
    </row>
    <row r="48" spans="1:15" x14ac:dyDescent="0.2">
      <c r="A48" s="16" t="s">
        <v>319</v>
      </c>
      <c r="B48" t="s">
        <v>156</v>
      </c>
      <c r="C48" t="s">
        <v>171</v>
      </c>
      <c r="D48" t="s">
        <v>110</v>
      </c>
      <c r="E48">
        <v>3368598</v>
      </c>
      <c r="F48">
        <v>1642737</v>
      </c>
      <c r="G48">
        <v>144897</v>
      </c>
      <c r="H48">
        <v>6673</v>
      </c>
      <c r="I48">
        <v>25895</v>
      </c>
      <c r="J48">
        <v>5260</v>
      </c>
      <c r="K48">
        <f t="shared" si="0"/>
        <v>11.123204749147307</v>
      </c>
      <c r="M48" t="s">
        <v>279</v>
      </c>
      <c r="O48" s="14" t="s">
        <v>218</v>
      </c>
    </row>
    <row r="49" spans="1:15" x14ac:dyDescent="0.2">
      <c r="A49" s="16" t="s">
        <v>320</v>
      </c>
      <c r="B49" t="s">
        <v>157</v>
      </c>
      <c r="C49" t="s">
        <v>171</v>
      </c>
      <c r="D49" t="s">
        <v>108</v>
      </c>
      <c r="E49">
        <v>2929062</v>
      </c>
      <c r="F49">
        <v>1589398</v>
      </c>
      <c r="G49">
        <v>64124</v>
      </c>
      <c r="H49">
        <v>7352</v>
      </c>
      <c r="I49">
        <v>14163</v>
      </c>
      <c r="J49">
        <v>2630</v>
      </c>
      <c r="K49">
        <f t="shared" si="0"/>
        <v>5.5536121223255597</v>
      </c>
      <c r="M49" t="s">
        <v>280</v>
      </c>
      <c r="O49" s="15" t="s">
        <v>219</v>
      </c>
    </row>
    <row r="50" spans="1:15" x14ac:dyDescent="0.2">
      <c r="A50" s="16" t="s">
        <v>321</v>
      </c>
      <c r="B50" t="s">
        <v>158</v>
      </c>
      <c r="C50" t="s">
        <v>171</v>
      </c>
      <c r="D50" t="s">
        <v>110</v>
      </c>
      <c r="E50">
        <v>2600429</v>
      </c>
      <c r="F50">
        <v>1566857</v>
      </c>
      <c r="G50">
        <v>106560</v>
      </c>
      <c r="H50">
        <v>8092</v>
      </c>
      <c r="I50">
        <v>7116</v>
      </c>
      <c r="J50">
        <v>0</v>
      </c>
      <c r="K50">
        <f t="shared" si="0"/>
        <v>7.7714813796026059</v>
      </c>
      <c r="M50" t="s">
        <v>281</v>
      </c>
      <c r="O50" s="14" t="s">
        <v>220</v>
      </c>
    </row>
    <row r="51" spans="1:15" x14ac:dyDescent="0.2">
      <c r="A51" s="16">
        <v>45972</v>
      </c>
      <c r="B51" t="s">
        <v>159</v>
      </c>
      <c r="C51" t="s">
        <v>171</v>
      </c>
      <c r="D51" t="s">
        <v>109</v>
      </c>
      <c r="E51">
        <v>19574108</v>
      </c>
      <c r="F51">
        <v>1563302</v>
      </c>
      <c r="G51">
        <v>37495</v>
      </c>
      <c r="H51">
        <v>810</v>
      </c>
      <c r="I51">
        <v>1355</v>
      </c>
      <c r="J51">
        <v>553</v>
      </c>
      <c r="K51">
        <f t="shared" si="0"/>
        <v>2.5723116838589086</v>
      </c>
      <c r="M51" t="s">
        <v>282</v>
      </c>
      <c r="O51" s="15" t="s">
        <v>221</v>
      </c>
    </row>
    <row r="52" spans="1:15" x14ac:dyDescent="0.2">
      <c r="A52" s="16" t="s">
        <v>322</v>
      </c>
      <c r="B52" t="s">
        <v>160</v>
      </c>
      <c r="C52" t="s">
        <v>171</v>
      </c>
      <c r="D52" t="s">
        <v>109</v>
      </c>
      <c r="E52">
        <v>2395788</v>
      </c>
      <c r="F52">
        <v>1509601</v>
      </c>
      <c r="G52">
        <v>42949</v>
      </c>
      <c r="H52">
        <v>514</v>
      </c>
      <c r="I52">
        <v>1352</v>
      </c>
      <c r="J52">
        <v>986</v>
      </c>
      <c r="K52">
        <f t="shared" si="0"/>
        <v>3.0339805021326827</v>
      </c>
      <c r="M52" t="s">
        <v>283</v>
      </c>
      <c r="O52" s="14" t="s">
        <v>222</v>
      </c>
    </row>
    <row r="53" spans="1:15" x14ac:dyDescent="0.2">
      <c r="A53" s="16" t="s">
        <v>323</v>
      </c>
      <c r="B53" t="s">
        <v>161</v>
      </c>
      <c r="C53" t="s">
        <v>171</v>
      </c>
      <c r="D53" t="s">
        <v>108</v>
      </c>
      <c r="E53">
        <v>2871264</v>
      </c>
      <c r="F53">
        <v>1501015</v>
      </c>
      <c r="G53">
        <v>142789</v>
      </c>
      <c r="H53">
        <v>4747</v>
      </c>
      <c r="I53">
        <v>12952</v>
      </c>
      <c r="J53">
        <v>3847</v>
      </c>
      <c r="K53">
        <f t="shared" si="0"/>
        <v>10.948258345186424</v>
      </c>
      <c r="M53" t="s">
        <v>284</v>
      </c>
      <c r="O53" s="15" t="s">
        <v>223</v>
      </c>
    </row>
    <row r="54" spans="1:15" x14ac:dyDescent="0.2">
      <c r="A54" s="16">
        <v>45998</v>
      </c>
      <c r="B54" t="s">
        <v>162</v>
      </c>
      <c r="C54" t="s">
        <v>171</v>
      </c>
      <c r="D54" t="s">
        <v>108</v>
      </c>
      <c r="E54">
        <v>1954518</v>
      </c>
      <c r="F54">
        <v>1487255</v>
      </c>
      <c r="G54">
        <v>29250</v>
      </c>
      <c r="H54">
        <v>904</v>
      </c>
      <c r="I54">
        <v>1359</v>
      </c>
      <c r="J54">
        <v>0</v>
      </c>
      <c r="K54">
        <f t="shared" si="0"/>
        <v>2.1188699987560975</v>
      </c>
      <c r="M54" t="s">
        <v>285</v>
      </c>
      <c r="O54" s="14" t="s">
        <v>224</v>
      </c>
    </row>
    <row r="55" spans="1:15" x14ac:dyDescent="0.2">
      <c r="A55" s="16" t="s">
        <v>324</v>
      </c>
      <c r="B55" t="s">
        <v>163</v>
      </c>
      <c r="C55" t="s">
        <v>287</v>
      </c>
      <c r="D55" t="s">
        <v>108</v>
      </c>
      <c r="E55">
        <v>2680597</v>
      </c>
      <c r="F55">
        <v>1482466</v>
      </c>
      <c r="G55">
        <v>72352</v>
      </c>
      <c r="H55">
        <v>5194</v>
      </c>
      <c r="I55">
        <v>12219</v>
      </c>
      <c r="J55">
        <v>4510</v>
      </c>
      <c r="K55">
        <f t="shared" si="0"/>
        <v>6.3593364029933905</v>
      </c>
      <c r="M55" t="s">
        <v>286</v>
      </c>
      <c r="O55" s="15" t="s">
        <v>225</v>
      </c>
    </row>
    <row r="56" spans="1:15" x14ac:dyDescent="0.2">
      <c r="A56" s="16">
        <v>45877</v>
      </c>
      <c r="B56" t="s">
        <v>164</v>
      </c>
      <c r="C56" t="s">
        <v>171</v>
      </c>
      <c r="D56" t="s">
        <v>108</v>
      </c>
      <c r="E56">
        <v>2549736</v>
      </c>
      <c r="F56">
        <v>1478743</v>
      </c>
      <c r="G56">
        <v>45655</v>
      </c>
      <c r="H56">
        <v>2266</v>
      </c>
      <c r="I56">
        <v>5262</v>
      </c>
      <c r="J56">
        <v>2010</v>
      </c>
      <c r="K56">
        <f t="shared" si="0"/>
        <v>3.7324267976247398</v>
      </c>
      <c r="M56" t="s">
        <v>288</v>
      </c>
      <c r="O56" s="14" t="s">
        <v>226</v>
      </c>
    </row>
    <row r="57" spans="1:15" x14ac:dyDescent="0.2">
      <c r="A57" s="16" t="s">
        <v>325</v>
      </c>
      <c r="B57" t="s">
        <v>165</v>
      </c>
      <c r="C57" t="s">
        <v>171</v>
      </c>
      <c r="D57" t="s">
        <v>110</v>
      </c>
      <c r="E57">
        <v>2314835</v>
      </c>
      <c r="F57">
        <v>1472789</v>
      </c>
      <c r="G57">
        <v>150878</v>
      </c>
      <c r="H57">
        <v>11541</v>
      </c>
      <c r="I57">
        <v>24095</v>
      </c>
      <c r="J57">
        <v>5979</v>
      </c>
      <c r="K57">
        <f t="shared" si="0"/>
        <v>13.069964536671581</v>
      </c>
      <c r="M57" t="s">
        <v>289</v>
      </c>
      <c r="O57" s="15" t="s">
        <v>227</v>
      </c>
    </row>
    <row r="58" spans="1:15" x14ac:dyDescent="0.2">
      <c r="A58" s="16" t="s">
        <v>326</v>
      </c>
      <c r="B58" t="s">
        <v>166</v>
      </c>
      <c r="C58" t="s">
        <v>171</v>
      </c>
      <c r="D58" t="s">
        <v>109</v>
      </c>
      <c r="E58">
        <v>7886721</v>
      </c>
      <c r="F58">
        <v>1467854</v>
      </c>
      <c r="G58">
        <v>23924</v>
      </c>
      <c r="H58">
        <v>7531</v>
      </c>
      <c r="I58">
        <v>1513</v>
      </c>
      <c r="J58">
        <v>537</v>
      </c>
      <c r="K58">
        <f t="shared" si="0"/>
        <v>2.2825839627101878</v>
      </c>
      <c r="M58" t="s">
        <v>290</v>
      </c>
      <c r="O58" s="14" t="s">
        <v>228</v>
      </c>
    </row>
    <row r="59" spans="1:15" x14ac:dyDescent="0.2">
      <c r="A59" s="16">
        <v>45721</v>
      </c>
      <c r="B59" t="s">
        <v>167</v>
      </c>
      <c r="C59" t="s">
        <v>171</v>
      </c>
      <c r="D59" t="s">
        <v>108</v>
      </c>
      <c r="E59">
        <v>2429885</v>
      </c>
      <c r="F59">
        <v>1431656</v>
      </c>
      <c r="G59">
        <v>117261</v>
      </c>
      <c r="H59">
        <v>3224</v>
      </c>
      <c r="I59">
        <v>3475</v>
      </c>
      <c r="J59">
        <v>2099</v>
      </c>
      <c r="K59">
        <f t="shared" si="0"/>
        <v>8.8051179892376368</v>
      </c>
      <c r="M59" t="s">
        <v>291</v>
      </c>
      <c r="O59" s="15" t="s">
        <v>229</v>
      </c>
    </row>
    <row r="60" spans="1:15" x14ac:dyDescent="0.2">
      <c r="A60" s="16" t="s">
        <v>327</v>
      </c>
      <c r="B60" t="s">
        <v>168</v>
      </c>
      <c r="C60" t="s">
        <v>171</v>
      </c>
      <c r="D60" t="s">
        <v>108</v>
      </c>
      <c r="E60">
        <v>1697210</v>
      </c>
      <c r="F60">
        <v>1411589</v>
      </c>
      <c r="G60">
        <v>29708</v>
      </c>
      <c r="H60">
        <v>284</v>
      </c>
      <c r="I60">
        <v>481</v>
      </c>
      <c r="J60">
        <v>1039</v>
      </c>
      <c r="K60">
        <f t="shared" si="0"/>
        <v>2.2323778380250912</v>
      </c>
      <c r="M60" t="s">
        <v>292</v>
      </c>
      <c r="O60" s="14" t="s">
        <v>230</v>
      </c>
    </row>
    <row r="61" spans="1:15" x14ac:dyDescent="0.2">
      <c r="A61" s="16" t="s">
        <v>328</v>
      </c>
      <c r="B61" t="s">
        <v>169</v>
      </c>
      <c r="C61" t="s">
        <v>171</v>
      </c>
      <c r="D61" t="s">
        <v>110</v>
      </c>
      <c r="E61">
        <v>2410673</v>
      </c>
      <c r="F61">
        <v>1411305</v>
      </c>
      <c r="G61">
        <v>153347</v>
      </c>
      <c r="H61">
        <v>2639</v>
      </c>
      <c r="I61">
        <v>14867</v>
      </c>
      <c r="J61">
        <v>0</v>
      </c>
      <c r="K61">
        <f>((G61+H61+I61+J61)/F61)*100</f>
        <v>12.10602952586436</v>
      </c>
      <c r="M61" t="s">
        <v>293</v>
      </c>
      <c r="O61" s="15" t="s">
        <v>231</v>
      </c>
    </row>
    <row r="62" spans="1:15" x14ac:dyDescent="0.2">
      <c r="A62" s="16">
        <v>45843</v>
      </c>
      <c r="B62" t="s">
        <v>170</v>
      </c>
      <c r="C62" t="s">
        <v>171</v>
      </c>
      <c r="D62" t="s">
        <v>108</v>
      </c>
      <c r="E62">
        <v>2388058</v>
      </c>
      <c r="F62">
        <v>1399547</v>
      </c>
      <c r="G62">
        <v>46190</v>
      </c>
      <c r="H62">
        <v>4983</v>
      </c>
      <c r="I62">
        <v>7391</v>
      </c>
      <c r="J62">
        <v>2461</v>
      </c>
      <c r="K62">
        <f t="shared" si="0"/>
        <v>4.360339452694336</v>
      </c>
      <c r="M62" t="s">
        <v>294</v>
      </c>
      <c r="O62" s="14" t="s">
        <v>232</v>
      </c>
    </row>
  </sheetData>
  <hyperlinks>
    <hyperlink ref="O2" r:id="rId1" xr:uid="{4E30E906-512A-7B4F-AE59-5D1ECD9FFAF0}"/>
    <hyperlink ref="O3" r:id="rId2" xr:uid="{43A786F2-0768-E540-B762-2525B68BF4CB}"/>
    <hyperlink ref="O15" r:id="rId3" xr:uid="{E21C392A-07D3-3246-A877-8858EF1FA246}"/>
    <hyperlink ref="O16" r:id="rId4" xr:uid="{EB33500C-8695-8B48-B794-15004DD95532}"/>
    <hyperlink ref="O17" r:id="rId5" xr:uid="{49FBE565-C7A3-1648-90FC-A471F159C8FB}"/>
    <hyperlink ref="O19" r:id="rId6" xr:uid="{2E879114-7797-1544-80D0-68C0905B127D}"/>
    <hyperlink ref="O20" r:id="rId7" xr:uid="{E7750AB3-8B2B-D24D-BA5A-0B507581F14F}"/>
    <hyperlink ref="O21" r:id="rId8" xr:uid="{E1FC03A2-80C7-4248-9947-6642AE135B14}"/>
    <hyperlink ref="O22" r:id="rId9" xr:uid="{4DF5AA0A-CBC4-2C42-BEFC-E3AC0DBF7506}"/>
    <hyperlink ref="O23" r:id="rId10" xr:uid="{C0513910-2285-9449-B7BA-BF714BC7D150}"/>
    <hyperlink ref="O24" r:id="rId11" xr:uid="{D61922DB-EC72-8645-A5C6-4AE7D703CEE3}"/>
    <hyperlink ref="O25" r:id="rId12" xr:uid="{19BC3A50-5638-6140-ADE6-82ADA6F07CCE}"/>
    <hyperlink ref="O26" r:id="rId13" xr:uid="{35B1A4F4-A352-F04B-B087-68AD44FBD7D8}"/>
    <hyperlink ref="O27" r:id="rId14" xr:uid="{F7CBBA9E-A958-B244-A29B-A19672C0CE03}"/>
    <hyperlink ref="O28" r:id="rId15" xr:uid="{D4BF534D-8817-CE45-89DC-CEA28AAA9486}"/>
    <hyperlink ref="O29" r:id="rId16" xr:uid="{3B2F2A50-872F-3F4B-BC71-C6A1D6F6E2C4}"/>
    <hyperlink ref="O30" r:id="rId17" xr:uid="{CFD0F1CB-1F1C-0A44-BE8F-D4FAF142DD8E}"/>
    <hyperlink ref="O31" r:id="rId18" xr:uid="{E6DFDE5F-0495-274E-B062-3137E8532680}"/>
    <hyperlink ref="O32" r:id="rId19" xr:uid="{5075807B-5945-274E-94F8-3D4A592AA754}"/>
    <hyperlink ref="O33" r:id="rId20" xr:uid="{C336A3A6-01F6-D54C-B7FD-FA6C6587323D}"/>
    <hyperlink ref="O34" r:id="rId21" xr:uid="{68AEB118-F9F7-5447-A19F-9C5E52A45982}"/>
    <hyperlink ref="O35" r:id="rId22" xr:uid="{E0B443B3-85F9-814A-ABC1-2188E0579792}"/>
    <hyperlink ref="O36" r:id="rId23" xr:uid="{B6C3B66A-8B33-EB44-A340-9F532EF5D76B}"/>
    <hyperlink ref="O37" r:id="rId24" xr:uid="{9020955E-CE00-DF48-B302-6CFDDCC39B88}"/>
    <hyperlink ref="O38" r:id="rId25" xr:uid="{BE531C0B-C31F-624B-8610-E06767E4CB3D}"/>
    <hyperlink ref="O39" r:id="rId26" xr:uid="{997F373B-2BF1-CD4F-9530-BC5EA51C76EB}"/>
    <hyperlink ref="O41" r:id="rId27" xr:uid="{3BB234D8-9313-8D4B-BF19-526F477B1682}"/>
    <hyperlink ref="O42" r:id="rId28" xr:uid="{AB5C4356-8383-3642-AE0D-30C712C1B473}"/>
    <hyperlink ref="O43" r:id="rId29" xr:uid="{86F6BC19-E9CC-3240-958E-1A6FCDDA3DDB}"/>
    <hyperlink ref="O44" r:id="rId30" xr:uid="{BFFABFD8-E321-D64D-AEE6-1691AC82B720}"/>
    <hyperlink ref="O45" r:id="rId31" xr:uid="{35A99526-57D7-4E4B-80E4-0B0A3B7D2F27}"/>
    <hyperlink ref="O46" r:id="rId32" xr:uid="{CD729C56-B3CA-4948-B910-9596E7C42D96}"/>
    <hyperlink ref="O47" r:id="rId33" xr:uid="{9EA5F545-2F6A-2F4C-8CAC-1ACE100EA9EE}"/>
    <hyperlink ref="O48" r:id="rId34" xr:uid="{D4EEB0B7-3957-E242-BC38-DD9A7255FD4F}"/>
    <hyperlink ref="O49" r:id="rId35" xr:uid="{D9AAD314-9C97-3443-846A-EF217D833AAE}"/>
    <hyperlink ref="O50" r:id="rId36" xr:uid="{D0422B47-4E06-7446-8454-5808EB870596}"/>
    <hyperlink ref="O51" r:id="rId37" xr:uid="{16614954-FF27-E14A-B8B7-CBA5EF7D597E}"/>
    <hyperlink ref="O52" r:id="rId38" xr:uid="{07956F9F-E90F-0842-99D9-321E0694F568}"/>
    <hyperlink ref="O53" r:id="rId39" xr:uid="{F1C7090A-7832-EA4B-9471-AB3B1648C89F}"/>
    <hyperlink ref="O54" r:id="rId40" xr:uid="{3522F8CC-2577-6D4A-BE96-21D205152776}"/>
    <hyperlink ref="O55" r:id="rId41" xr:uid="{C7ED0503-2ABE-A64C-A1D9-03EA7C8B8DD0}"/>
    <hyperlink ref="O56" r:id="rId42" xr:uid="{02E227DE-8EE8-EB4A-B38E-395FF40C2181}"/>
    <hyperlink ref="O57" r:id="rId43" xr:uid="{6BBFE80B-28A3-5C4E-AB5A-F10076E60D66}"/>
    <hyperlink ref="O58" r:id="rId44" xr:uid="{D6FC0228-0DA8-E040-B291-DB1206A85B89}"/>
    <hyperlink ref="O59" r:id="rId45" xr:uid="{9444B1E0-CABE-054C-A8E9-17F14E8BDE40}"/>
    <hyperlink ref="O60" r:id="rId46" xr:uid="{EB0769DC-7DD8-2342-B7EE-E516074078D2}"/>
    <hyperlink ref="O61" r:id="rId47" xr:uid="{D91EE03A-32D0-1A4F-9DA4-AF3D9CB673EA}"/>
    <hyperlink ref="O62" r:id="rId48" xr:uid="{F967588C-6C6F-B040-8128-00C365AF15E6}"/>
    <hyperlink ref="O18" r:id="rId49" xr:uid="{501B4560-63DA-8D49-9EDF-2DF713D2622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F8DD-B428-DA4F-9581-6FB3EA0DD776}">
  <dimension ref="A1:P51"/>
  <sheetViews>
    <sheetView workbookViewId="0">
      <selection activeCell="M1" sqref="M1"/>
    </sheetView>
  </sheetViews>
  <sheetFormatPr baseColWidth="10" defaultRowHeight="16" x14ac:dyDescent="0.2"/>
  <cols>
    <col min="1" max="1" width="23.33203125" bestFit="1" customWidth="1"/>
  </cols>
  <sheetData>
    <row r="1" spans="1:16" x14ac:dyDescent="0.2">
      <c r="A1" t="s">
        <v>96</v>
      </c>
      <c r="B1" t="s">
        <v>97</v>
      </c>
      <c r="C1" t="s">
        <v>7</v>
      </c>
      <c r="D1" t="s">
        <v>2</v>
      </c>
      <c r="E1" t="s">
        <v>8</v>
      </c>
      <c r="F1" t="s">
        <v>98</v>
      </c>
      <c r="G1" t="s">
        <v>99</v>
      </c>
      <c r="H1" t="s">
        <v>100</v>
      </c>
      <c r="I1" t="s">
        <v>101</v>
      </c>
      <c r="J1" t="s">
        <v>102</v>
      </c>
      <c r="K1" t="s">
        <v>331</v>
      </c>
      <c r="L1" t="s">
        <v>103</v>
      </c>
      <c r="M1" t="s">
        <v>104</v>
      </c>
      <c r="N1" t="s">
        <v>3</v>
      </c>
      <c r="O1" t="s">
        <v>13</v>
      </c>
      <c r="P1" t="s">
        <v>105</v>
      </c>
    </row>
    <row r="2" spans="1:16" x14ac:dyDescent="0.2">
      <c r="A2" s="22">
        <v>46105</v>
      </c>
      <c r="B2" t="s">
        <v>332</v>
      </c>
      <c r="D2" t="s">
        <v>329</v>
      </c>
      <c r="E2">
        <v>7959270</v>
      </c>
      <c r="F2">
        <v>3871324</v>
      </c>
      <c r="G2">
        <v>52586</v>
      </c>
      <c r="H2">
        <v>18974</v>
      </c>
      <c r="I2">
        <v>530</v>
      </c>
      <c r="J2">
        <v>807559</v>
      </c>
      <c r="K2">
        <v>740288</v>
      </c>
      <c r="N2">
        <f>((G2+H2+I2+J2)/F2)*100</f>
        <v>22.722174635861013</v>
      </c>
      <c r="P2" t="s">
        <v>381</v>
      </c>
    </row>
    <row r="3" spans="1:16" ht="15" customHeight="1" x14ac:dyDescent="0.2">
      <c r="A3" s="22">
        <v>46097</v>
      </c>
      <c r="B3" t="s">
        <v>333</v>
      </c>
      <c r="D3" t="s">
        <v>329</v>
      </c>
      <c r="E3">
        <v>4673595</v>
      </c>
      <c r="F3">
        <v>2578188</v>
      </c>
      <c r="G3">
        <v>24756</v>
      </c>
      <c r="H3">
        <v>2523</v>
      </c>
      <c r="I3">
        <v>131</v>
      </c>
      <c r="J3">
        <v>401490</v>
      </c>
      <c r="K3">
        <v>307214</v>
      </c>
      <c r="N3">
        <f t="shared" ref="N3:N51" si="0">((G3+H3+I3+J3)/F3)*100</f>
        <v>16.635714695747556</v>
      </c>
      <c r="P3" s="2" t="s">
        <v>382</v>
      </c>
    </row>
    <row r="4" spans="1:16" x14ac:dyDescent="0.2">
      <c r="A4" s="22">
        <v>46037</v>
      </c>
      <c r="B4" t="s">
        <v>334</v>
      </c>
      <c r="D4" t="s">
        <v>329</v>
      </c>
      <c r="E4">
        <v>4014072</v>
      </c>
      <c r="F4">
        <v>2280481</v>
      </c>
      <c r="G4">
        <v>83965</v>
      </c>
      <c r="H4">
        <v>2949</v>
      </c>
      <c r="I4">
        <v>2105</v>
      </c>
      <c r="J4">
        <v>251762</v>
      </c>
      <c r="K4">
        <v>206977</v>
      </c>
      <c r="N4">
        <f t="shared" si="0"/>
        <v>14.943382558328702</v>
      </c>
      <c r="P4" t="s">
        <v>383</v>
      </c>
    </row>
    <row r="5" spans="1:16" ht="16" customHeight="1" x14ac:dyDescent="0.2">
      <c r="A5" s="22">
        <v>46111</v>
      </c>
      <c r="B5" t="s">
        <v>335</v>
      </c>
      <c r="D5" t="s">
        <v>329</v>
      </c>
      <c r="E5">
        <v>3816045</v>
      </c>
      <c r="F5">
        <v>2129821</v>
      </c>
      <c r="G5">
        <v>60344</v>
      </c>
      <c r="H5">
        <v>4155</v>
      </c>
      <c r="I5">
        <v>209</v>
      </c>
      <c r="J5">
        <v>285182</v>
      </c>
      <c r="K5">
        <v>225838</v>
      </c>
      <c r="N5">
        <f t="shared" si="0"/>
        <v>16.428141144255783</v>
      </c>
      <c r="P5" s="2" t="s">
        <v>384</v>
      </c>
    </row>
    <row r="6" spans="1:16" x14ac:dyDescent="0.2">
      <c r="A6" s="22">
        <v>46042</v>
      </c>
      <c r="B6" t="s">
        <v>336</v>
      </c>
      <c r="D6" t="s">
        <v>329</v>
      </c>
      <c r="E6">
        <v>4145024</v>
      </c>
      <c r="F6">
        <v>2116241</v>
      </c>
      <c r="G6">
        <v>29371</v>
      </c>
      <c r="H6">
        <v>4991</v>
      </c>
      <c r="I6">
        <v>303</v>
      </c>
      <c r="J6">
        <v>366252</v>
      </c>
      <c r="K6">
        <v>268982</v>
      </c>
      <c r="N6">
        <f t="shared" si="0"/>
        <v>18.944770468013804</v>
      </c>
      <c r="P6" t="s">
        <v>385</v>
      </c>
    </row>
    <row r="7" spans="1:16" ht="14" customHeight="1" x14ac:dyDescent="0.2">
      <c r="A7" s="22">
        <v>46108</v>
      </c>
      <c r="B7" t="s">
        <v>337</v>
      </c>
      <c r="D7" t="s">
        <v>329</v>
      </c>
      <c r="E7">
        <v>3237754</v>
      </c>
      <c r="F7">
        <v>2060229</v>
      </c>
      <c r="G7">
        <v>106226</v>
      </c>
      <c r="H7">
        <v>3286</v>
      </c>
      <c r="I7">
        <v>4283</v>
      </c>
      <c r="J7">
        <v>230914</v>
      </c>
      <c r="K7">
        <v>183388</v>
      </c>
      <c r="N7">
        <f t="shared" si="0"/>
        <v>16.731586634301333</v>
      </c>
      <c r="P7" s="2" t="s">
        <v>386</v>
      </c>
    </row>
    <row r="8" spans="1:16" x14ac:dyDescent="0.2">
      <c r="A8" s="22">
        <v>46049</v>
      </c>
      <c r="B8" t="s">
        <v>338</v>
      </c>
      <c r="D8" t="s">
        <v>329</v>
      </c>
      <c r="E8">
        <v>4601750</v>
      </c>
      <c r="F8">
        <v>2039620</v>
      </c>
      <c r="G8">
        <v>34333</v>
      </c>
      <c r="H8">
        <v>1424</v>
      </c>
      <c r="I8">
        <v>51</v>
      </c>
      <c r="J8">
        <v>1053850</v>
      </c>
      <c r="K8">
        <v>633444</v>
      </c>
      <c r="N8">
        <f t="shared" si="0"/>
        <v>53.424559476765275</v>
      </c>
      <c r="P8" t="s">
        <v>387</v>
      </c>
    </row>
    <row r="9" spans="1:16" ht="18" customHeight="1" x14ac:dyDescent="0.2">
      <c r="A9" s="22">
        <v>46037</v>
      </c>
      <c r="B9" t="s">
        <v>339</v>
      </c>
      <c r="D9" t="s">
        <v>329</v>
      </c>
      <c r="E9">
        <v>4430811</v>
      </c>
      <c r="F9">
        <v>2021659</v>
      </c>
      <c r="G9">
        <v>20498</v>
      </c>
      <c r="H9">
        <v>4576</v>
      </c>
      <c r="I9">
        <v>272</v>
      </c>
      <c r="J9">
        <v>679445</v>
      </c>
      <c r="K9">
        <v>523363</v>
      </c>
      <c r="N9">
        <f t="shared" si="0"/>
        <v>34.862011842748956</v>
      </c>
      <c r="P9" s="2" t="s">
        <v>388</v>
      </c>
    </row>
    <row r="10" spans="1:16" x14ac:dyDescent="0.2">
      <c r="A10" s="22">
        <v>46102</v>
      </c>
      <c r="B10" t="s">
        <v>340</v>
      </c>
      <c r="D10" t="s">
        <v>329</v>
      </c>
      <c r="E10">
        <v>4010063</v>
      </c>
      <c r="F10">
        <v>1988651</v>
      </c>
      <c r="G10">
        <v>25804</v>
      </c>
      <c r="H10">
        <v>5650</v>
      </c>
      <c r="I10">
        <v>226</v>
      </c>
      <c r="J10">
        <v>421305</v>
      </c>
      <c r="K10">
        <v>313350</v>
      </c>
      <c r="N10">
        <f t="shared" si="0"/>
        <v>22.778506635905448</v>
      </c>
      <c r="P10" t="s">
        <v>389</v>
      </c>
    </row>
    <row r="11" spans="1:16" ht="18" customHeight="1" x14ac:dyDescent="0.2">
      <c r="A11" s="22">
        <v>46037</v>
      </c>
      <c r="B11" t="s">
        <v>341</v>
      </c>
      <c r="D11" t="s">
        <v>329</v>
      </c>
      <c r="E11">
        <v>4675845</v>
      </c>
      <c r="F11">
        <v>1978587</v>
      </c>
      <c r="G11">
        <v>18940</v>
      </c>
      <c r="H11">
        <v>2035</v>
      </c>
      <c r="I11">
        <v>106</v>
      </c>
      <c r="J11">
        <v>1397200</v>
      </c>
      <c r="K11">
        <v>548767</v>
      </c>
      <c r="N11">
        <f t="shared" si="0"/>
        <v>71.681508066109799</v>
      </c>
      <c r="P11" s="2" t="s">
        <v>390</v>
      </c>
    </row>
    <row r="12" spans="1:16" x14ac:dyDescent="0.2">
      <c r="A12" s="22">
        <v>46103</v>
      </c>
      <c r="B12" t="s">
        <v>342</v>
      </c>
      <c r="D12" t="s">
        <v>329</v>
      </c>
      <c r="E12">
        <v>4001816</v>
      </c>
      <c r="F12">
        <v>1926542</v>
      </c>
      <c r="G12">
        <v>15552</v>
      </c>
      <c r="H12">
        <v>8558</v>
      </c>
      <c r="I12">
        <v>250</v>
      </c>
      <c r="J12">
        <v>579570</v>
      </c>
      <c r="K12">
        <v>437062</v>
      </c>
      <c r="N12">
        <f t="shared" si="0"/>
        <v>31.347876142850765</v>
      </c>
      <c r="P12" t="s">
        <v>391</v>
      </c>
    </row>
    <row r="13" spans="1:16" ht="17" customHeight="1" x14ac:dyDescent="0.2">
      <c r="A13" s="22">
        <v>46059</v>
      </c>
      <c r="B13" t="s">
        <v>343</v>
      </c>
      <c r="D13" t="s">
        <v>329</v>
      </c>
      <c r="E13">
        <v>3716270</v>
      </c>
      <c r="F13">
        <v>1896521</v>
      </c>
      <c r="G13">
        <v>49755</v>
      </c>
      <c r="H13">
        <v>1646</v>
      </c>
      <c r="I13">
        <v>129</v>
      </c>
      <c r="J13">
        <v>309727</v>
      </c>
      <c r="K13">
        <v>250634</v>
      </c>
      <c r="N13">
        <f t="shared" si="0"/>
        <v>19.04840494779652</v>
      </c>
      <c r="P13" s="2" t="s">
        <v>392</v>
      </c>
    </row>
    <row r="14" spans="1:16" ht="20" customHeight="1" x14ac:dyDescent="0.2">
      <c r="A14" s="22">
        <v>46043</v>
      </c>
      <c r="B14" t="s">
        <v>394</v>
      </c>
      <c r="D14" t="s">
        <v>329</v>
      </c>
      <c r="E14">
        <v>3870711</v>
      </c>
      <c r="F14">
        <v>1874992</v>
      </c>
      <c r="G14">
        <v>28430</v>
      </c>
      <c r="H14">
        <v>3915</v>
      </c>
      <c r="I14">
        <v>169</v>
      </c>
      <c r="J14">
        <v>512310</v>
      </c>
      <c r="K14">
        <v>408561</v>
      </c>
      <c r="N14">
        <f t="shared" si="0"/>
        <v>29.057403978256975</v>
      </c>
      <c r="P14" s="2" t="s">
        <v>393</v>
      </c>
    </row>
    <row r="15" spans="1:16" ht="17" customHeight="1" x14ac:dyDescent="0.2">
      <c r="A15" s="22">
        <v>46105</v>
      </c>
      <c r="B15" t="s">
        <v>344</v>
      </c>
      <c r="D15" t="s">
        <v>329</v>
      </c>
      <c r="E15">
        <v>4050248</v>
      </c>
      <c r="F15">
        <v>1760785</v>
      </c>
      <c r="G15">
        <v>20324</v>
      </c>
      <c r="H15">
        <v>5709</v>
      </c>
      <c r="I15">
        <v>647</v>
      </c>
      <c r="J15">
        <v>895971</v>
      </c>
      <c r="K15">
        <v>471443</v>
      </c>
      <c r="N15">
        <f t="shared" si="0"/>
        <v>52.399980690430695</v>
      </c>
      <c r="P15" s="2" t="s">
        <v>395</v>
      </c>
    </row>
    <row r="16" spans="1:16" ht="15" customHeight="1" x14ac:dyDescent="0.2">
      <c r="A16" s="22">
        <v>46109</v>
      </c>
      <c r="B16" t="s">
        <v>345</v>
      </c>
      <c r="D16" t="s">
        <v>329</v>
      </c>
      <c r="E16">
        <v>3607220</v>
      </c>
      <c r="F16">
        <v>1648596</v>
      </c>
      <c r="G16">
        <v>25538</v>
      </c>
      <c r="H16">
        <v>4365</v>
      </c>
      <c r="I16">
        <v>170</v>
      </c>
      <c r="J16">
        <v>690181</v>
      </c>
      <c r="K16">
        <v>409165</v>
      </c>
      <c r="N16">
        <f t="shared" si="0"/>
        <v>43.688932885922327</v>
      </c>
      <c r="P16" s="2" t="s">
        <v>396</v>
      </c>
    </row>
    <row r="17" spans="1:16" ht="17" customHeight="1" x14ac:dyDescent="0.2">
      <c r="A17" s="22">
        <v>46109</v>
      </c>
      <c r="B17" t="s">
        <v>346</v>
      </c>
      <c r="D17" t="s">
        <v>329</v>
      </c>
      <c r="E17">
        <v>3271720</v>
      </c>
      <c r="F17">
        <v>1616271</v>
      </c>
      <c r="G17">
        <v>28821</v>
      </c>
      <c r="H17">
        <v>5013</v>
      </c>
      <c r="I17">
        <v>455</v>
      </c>
      <c r="J17">
        <v>438587</v>
      </c>
      <c r="K17">
        <v>270733</v>
      </c>
      <c r="N17">
        <f t="shared" si="0"/>
        <v>29.257222334620863</v>
      </c>
      <c r="P17" s="2" t="s">
        <v>397</v>
      </c>
    </row>
    <row r="18" spans="1:16" ht="16" customHeight="1" x14ac:dyDescent="0.2">
      <c r="A18" s="22">
        <v>46031</v>
      </c>
      <c r="B18" t="s">
        <v>347</v>
      </c>
      <c r="D18" t="s">
        <v>329</v>
      </c>
      <c r="E18">
        <v>3294421</v>
      </c>
      <c r="F18">
        <v>1509212</v>
      </c>
      <c r="G18">
        <v>18987</v>
      </c>
      <c r="H18">
        <v>4297</v>
      </c>
      <c r="I18">
        <v>219</v>
      </c>
      <c r="J18">
        <v>680410</v>
      </c>
      <c r="K18">
        <v>312999</v>
      </c>
      <c r="N18">
        <f t="shared" si="0"/>
        <v>46.641094822993722</v>
      </c>
      <c r="P18" s="2" t="s">
        <v>398</v>
      </c>
    </row>
    <row r="19" spans="1:16" ht="17" customHeight="1" x14ac:dyDescent="0.2">
      <c r="A19" s="22">
        <v>46106</v>
      </c>
      <c r="B19" t="s">
        <v>348</v>
      </c>
      <c r="D19" t="s">
        <v>329</v>
      </c>
      <c r="E19">
        <v>3514462</v>
      </c>
      <c r="F19">
        <v>1501221</v>
      </c>
      <c r="G19">
        <v>19736</v>
      </c>
      <c r="H19">
        <v>4276</v>
      </c>
      <c r="I19">
        <v>1554</v>
      </c>
      <c r="J19">
        <v>1004642</v>
      </c>
      <c r="K19">
        <v>478211</v>
      </c>
      <c r="N19">
        <f t="shared" si="0"/>
        <v>68.624672849633725</v>
      </c>
      <c r="P19" s="2" t="s">
        <v>399</v>
      </c>
    </row>
    <row r="20" spans="1:16" ht="16" customHeight="1" x14ac:dyDescent="0.2">
      <c r="A20" s="22">
        <v>46095</v>
      </c>
      <c r="B20" t="s">
        <v>349</v>
      </c>
      <c r="D20" t="s">
        <v>329</v>
      </c>
      <c r="E20">
        <v>3030385</v>
      </c>
      <c r="F20">
        <v>1477919</v>
      </c>
      <c r="G20">
        <v>34548</v>
      </c>
      <c r="H20">
        <v>928</v>
      </c>
      <c r="I20">
        <v>182</v>
      </c>
      <c r="J20">
        <v>388332</v>
      </c>
      <c r="K20">
        <v>250399</v>
      </c>
      <c r="N20">
        <f t="shared" si="0"/>
        <v>28.688311064408804</v>
      </c>
      <c r="P20" s="2" t="s">
        <v>400</v>
      </c>
    </row>
    <row r="21" spans="1:16" ht="14" customHeight="1" x14ac:dyDescent="0.2">
      <c r="A21" s="22">
        <v>46097</v>
      </c>
      <c r="B21" t="s">
        <v>350</v>
      </c>
      <c r="D21" t="s">
        <v>329</v>
      </c>
      <c r="E21">
        <v>2939622</v>
      </c>
      <c r="F21">
        <v>1435890</v>
      </c>
      <c r="G21">
        <v>34884</v>
      </c>
      <c r="H21">
        <v>662</v>
      </c>
      <c r="I21">
        <v>42</v>
      </c>
      <c r="J21">
        <v>303513</v>
      </c>
      <c r="K21">
        <v>237812</v>
      </c>
      <c r="N21">
        <f t="shared" si="0"/>
        <v>23.616084797581987</v>
      </c>
      <c r="P21" s="2" t="s">
        <v>401</v>
      </c>
    </row>
    <row r="22" spans="1:16" ht="18" customHeight="1" x14ac:dyDescent="0.2">
      <c r="A22" s="22">
        <v>46109</v>
      </c>
      <c r="B22" t="s">
        <v>351</v>
      </c>
      <c r="D22" t="s">
        <v>330</v>
      </c>
      <c r="E22">
        <v>2074223</v>
      </c>
      <c r="F22">
        <v>1387006</v>
      </c>
      <c r="G22">
        <v>9039</v>
      </c>
      <c r="H22">
        <v>368</v>
      </c>
      <c r="I22">
        <v>48</v>
      </c>
      <c r="J22">
        <v>22204</v>
      </c>
      <c r="K22">
        <v>6752</v>
      </c>
      <c r="N22">
        <f t="shared" si="0"/>
        <v>2.282542397076869</v>
      </c>
      <c r="P22" s="2" t="s">
        <v>402</v>
      </c>
    </row>
    <row r="23" spans="1:16" ht="16" customHeight="1" x14ac:dyDescent="0.2">
      <c r="A23" s="22">
        <v>46042</v>
      </c>
      <c r="B23" t="s">
        <v>352</v>
      </c>
      <c r="D23" t="s">
        <v>329</v>
      </c>
      <c r="E23">
        <v>2845091</v>
      </c>
      <c r="F23">
        <v>1368811</v>
      </c>
      <c r="G23">
        <v>28709</v>
      </c>
      <c r="H23">
        <v>4462</v>
      </c>
      <c r="I23">
        <v>439</v>
      </c>
      <c r="J23">
        <v>310655</v>
      </c>
      <c r="K23">
        <v>229316</v>
      </c>
      <c r="N23">
        <f t="shared" si="0"/>
        <v>25.150659952323583</v>
      </c>
      <c r="P23" s="2" t="s">
        <v>403</v>
      </c>
    </row>
    <row r="24" spans="1:16" ht="15" customHeight="1" x14ac:dyDescent="0.2">
      <c r="A24" s="22">
        <v>46029</v>
      </c>
      <c r="B24" t="s">
        <v>353</v>
      </c>
      <c r="D24" t="s">
        <v>329</v>
      </c>
      <c r="E24">
        <v>2684094</v>
      </c>
      <c r="F24">
        <v>1352016</v>
      </c>
      <c r="G24">
        <v>17649</v>
      </c>
      <c r="H24">
        <v>1980</v>
      </c>
      <c r="I24">
        <v>90</v>
      </c>
      <c r="J24">
        <v>231935</v>
      </c>
      <c r="K24">
        <v>200673</v>
      </c>
      <c r="N24">
        <f t="shared" si="0"/>
        <v>18.613241263417002</v>
      </c>
      <c r="P24" s="2" t="s">
        <v>404</v>
      </c>
    </row>
    <row r="25" spans="1:16" ht="15" customHeight="1" x14ac:dyDescent="0.2">
      <c r="A25" s="22">
        <v>46073</v>
      </c>
      <c r="B25" t="s">
        <v>354</v>
      </c>
      <c r="D25" t="s">
        <v>329</v>
      </c>
      <c r="E25">
        <v>2545996</v>
      </c>
      <c r="F25">
        <v>1318921</v>
      </c>
      <c r="G25">
        <v>22937</v>
      </c>
      <c r="H25">
        <v>3821</v>
      </c>
      <c r="I25">
        <v>217</v>
      </c>
      <c r="J25">
        <v>222184</v>
      </c>
      <c r="K25">
        <v>197370</v>
      </c>
      <c r="N25">
        <f t="shared" si="0"/>
        <v>18.891123880808632</v>
      </c>
      <c r="P25" s="2" t="s">
        <v>405</v>
      </c>
    </row>
    <row r="26" spans="1:16" ht="20" customHeight="1" x14ac:dyDescent="0.2">
      <c r="A26" s="22">
        <v>46045</v>
      </c>
      <c r="B26" t="s">
        <v>355</v>
      </c>
      <c r="D26" t="s">
        <v>329</v>
      </c>
      <c r="E26">
        <v>2321608</v>
      </c>
      <c r="F26">
        <v>1292739</v>
      </c>
      <c r="G26">
        <v>29967</v>
      </c>
      <c r="H26">
        <v>601</v>
      </c>
      <c r="I26">
        <v>62</v>
      </c>
      <c r="J26">
        <v>169488</v>
      </c>
      <c r="K26">
        <v>100227</v>
      </c>
      <c r="N26">
        <f t="shared" si="0"/>
        <v>15.480154926864586</v>
      </c>
      <c r="P26" s="2" t="s">
        <v>406</v>
      </c>
    </row>
    <row r="27" spans="1:16" ht="20" customHeight="1" x14ac:dyDescent="0.2">
      <c r="A27" s="22">
        <v>46101</v>
      </c>
      <c r="B27" t="s">
        <v>356</v>
      </c>
      <c r="D27" t="s">
        <v>329</v>
      </c>
      <c r="E27">
        <v>2500376</v>
      </c>
      <c r="F27">
        <v>1245795</v>
      </c>
      <c r="G27">
        <v>19222</v>
      </c>
      <c r="H27">
        <v>1303</v>
      </c>
      <c r="I27">
        <v>80</v>
      </c>
      <c r="J27">
        <v>349541</v>
      </c>
      <c r="K27">
        <v>185918</v>
      </c>
      <c r="N27">
        <f t="shared" si="0"/>
        <v>29.711629923061178</v>
      </c>
      <c r="P27" s="2" t="s">
        <v>407</v>
      </c>
    </row>
    <row r="28" spans="1:16" ht="20" customHeight="1" x14ac:dyDescent="0.2">
      <c r="A28" s="22">
        <v>46107</v>
      </c>
      <c r="B28" t="s">
        <v>357</v>
      </c>
      <c r="D28" t="s">
        <v>329</v>
      </c>
      <c r="E28">
        <v>2098553</v>
      </c>
      <c r="F28">
        <v>1220138</v>
      </c>
      <c r="G28">
        <v>32490</v>
      </c>
      <c r="H28">
        <v>541</v>
      </c>
      <c r="I28">
        <v>144</v>
      </c>
      <c r="J28">
        <v>115276</v>
      </c>
      <c r="K28">
        <v>61342</v>
      </c>
      <c r="N28">
        <f t="shared" si="0"/>
        <v>12.166738516462893</v>
      </c>
      <c r="P28" s="2" t="s">
        <v>408</v>
      </c>
    </row>
    <row r="29" spans="1:16" ht="16" customHeight="1" x14ac:dyDescent="0.2">
      <c r="A29" s="22">
        <v>46115</v>
      </c>
      <c r="B29" t="s">
        <v>358</v>
      </c>
      <c r="D29" t="s">
        <v>329</v>
      </c>
      <c r="E29">
        <v>542159</v>
      </c>
      <c r="F29">
        <v>1191032</v>
      </c>
      <c r="G29">
        <v>70624</v>
      </c>
      <c r="H29">
        <v>3274</v>
      </c>
      <c r="I29">
        <v>125</v>
      </c>
      <c r="J29">
        <v>86391</v>
      </c>
      <c r="K29">
        <v>64674</v>
      </c>
      <c r="N29">
        <f t="shared" si="0"/>
        <v>13.468487832400807</v>
      </c>
      <c r="P29" s="2" t="s">
        <v>411</v>
      </c>
    </row>
    <row r="30" spans="1:16" ht="17" customHeight="1" x14ac:dyDescent="0.2">
      <c r="A30" s="22">
        <v>46077</v>
      </c>
      <c r="B30" t="s">
        <v>359</v>
      </c>
      <c r="D30" t="s">
        <v>329</v>
      </c>
      <c r="E30">
        <v>2573109</v>
      </c>
      <c r="F30">
        <v>1159064</v>
      </c>
      <c r="G30">
        <v>33301</v>
      </c>
      <c r="H30">
        <v>4385</v>
      </c>
      <c r="I30">
        <v>370</v>
      </c>
      <c r="J30">
        <v>355614</v>
      </c>
      <c r="K30">
        <v>235011</v>
      </c>
      <c r="N30">
        <f t="shared" si="0"/>
        <v>33.964474783100847</v>
      </c>
      <c r="P30" s="2" t="s">
        <v>409</v>
      </c>
    </row>
    <row r="31" spans="1:16" ht="21" customHeight="1" x14ac:dyDescent="0.2">
      <c r="A31" s="22">
        <v>46107</v>
      </c>
      <c r="B31" t="s">
        <v>360</v>
      </c>
      <c r="D31" t="s">
        <v>329</v>
      </c>
      <c r="E31">
        <v>2085387</v>
      </c>
      <c r="F31">
        <v>1153836</v>
      </c>
      <c r="G31">
        <v>22912</v>
      </c>
      <c r="H31">
        <v>1782</v>
      </c>
      <c r="I31">
        <v>306</v>
      </c>
      <c r="J31">
        <v>133515</v>
      </c>
      <c r="K31">
        <v>117635</v>
      </c>
      <c r="N31">
        <f t="shared" si="0"/>
        <v>13.738087561837212</v>
      </c>
      <c r="P31" s="2" t="s">
        <v>412</v>
      </c>
    </row>
    <row r="32" spans="1:16" ht="19" customHeight="1" x14ac:dyDescent="0.2">
      <c r="A32" s="22">
        <v>46101</v>
      </c>
      <c r="B32" t="s">
        <v>361</v>
      </c>
      <c r="D32" t="s">
        <v>329</v>
      </c>
      <c r="E32">
        <v>2241829</v>
      </c>
      <c r="F32">
        <v>1144036</v>
      </c>
      <c r="G32">
        <v>15944</v>
      </c>
      <c r="H32">
        <v>1908</v>
      </c>
      <c r="I32">
        <v>77</v>
      </c>
      <c r="J32">
        <v>278263</v>
      </c>
      <c r="K32">
        <v>153344</v>
      </c>
      <c r="N32">
        <f t="shared" si="0"/>
        <v>25.89009436765976</v>
      </c>
      <c r="P32" s="2" t="s">
        <v>410</v>
      </c>
    </row>
    <row r="33" spans="1:16" ht="20" customHeight="1" x14ac:dyDescent="0.2">
      <c r="A33" s="22">
        <v>46048</v>
      </c>
      <c r="B33" t="s">
        <v>362</v>
      </c>
      <c r="D33" t="s">
        <v>329</v>
      </c>
      <c r="E33">
        <v>2682727</v>
      </c>
      <c r="F33">
        <v>1122494</v>
      </c>
      <c r="G33">
        <v>22609</v>
      </c>
      <c r="H33">
        <v>3566</v>
      </c>
      <c r="I33">
        <v>116</v>
      </c>
      <c r="J33">
        <v>764328</v>
      </c>
      <c r="K33">
        <v>361521</v>
      </c>
      <c r="N33">
        <f t="shared" si="0"/>
        <v>70.434140405204843</v>
      </c>
      <c r="P33" s="2" t="s">
        <v>413</v>
      </c>
    </row>
    <row r="34" spans="1:16" ht="17" customHeight="1" x14ac:dyDescent="0.2">
      <c r="A34" s="22">
        <v>46111</v>
      </c>
      <c r="B34" t="s">
        <v>363</v>
      </c>
      <c r="D34" t="s">
        <v>329</v>
      </c>
      <c r="E34">
        <v>2076631</v>
      </c>
      <c r="F34">
        <v>1121705</v>
      </c>
      <c r="G34">
        <v>28628</v>
      </c>
      <c r="H34">
        <v>5245</v>
      </c>
      <c r="I34">
        <v>303</v>
      </c>
      <c r="J34">
        <v>152691</v>
      </c>
      <c r="K34">
        <v>130409</v>
      </c>
      <c r="N34">
        <f t="shared" si="0"/>
        <v>16.659192925056054</v>
      </c>
      <c r="P34" s="2" t="s">
        <v>414</v>
      </c>
    </row>
    <row r="35" spans="1:16" ht="19" customHeight="1" x14ac:dyDescent="0.2">
      <c r="A35" s="22">
        <v>46104</v>
      </c>
      <c r="B35" t="s">
        <v>364</v>
      </c>
      <c r="D35" t="s">
        <v>329</v>
      </c>
      <c r="E35">
        <v>2301830</v>
      </c>
      <c r="F35">
        <v>1089555</v>
      </c>
      <c r="G35">
        <v>25569</v>
      </c>
      <c r="H35">
        <v>2472</v>
      </c>
      <c r="I35">
        <v>100</v>
      </c>
      <c r="J35">
        <v>353376</v>
      </c>
      <c r="K35">
        <v>208106</v>
      </c>
      <c r="N35">
        <f t="shared" si="0"/>
        <v>35.015855096805574</v>
      </c>
      <c r="P35" s="2" t="s">
        <v>415</v>
      </c>
    </row>
    <row r="36" spans="1:16" ht="19" customHeight="1" x14ac:dyDescent="0.2">
      <c r="A36" s="22">
        <v>46108</v>
      </c>
      <c r="B36" t="s">
        <v>365</v>
      </c>
      <c r="D36" t="s">
        <v>329</v>
      </c>
      <c r="E36">
        <v>2119644</v>
      </c>
      <c r="F36">
        <v>1084526</v>
      </c>
      <c r="G36">
        <v>23714</v>
      </c>
      <c r="H36">
        <v>1851</v>
      </c>
      <c r="I36">
        <v>221</v>
      </c>
      <c r="J36">
        <v>206032</v>
      </c>
      <c r="K36">
        <v>165106</v>
      </c>
      <c r="N36">
        <f t="shared" si="0"/>
        <v>21.375052327007374</v>
      </c>
      <c r="P36" s="2" t="s">
        <v>416</v>
      </c>
    </row>
    <row r="37" spans="1:16" ht="15" customHeight="1" x14ac:dyDescent="0.2">
      <c r="A37" s="22">
        <v>46111</v>
      </c>
      <c r="B37" t="s">
        <v>366</v>
      </c>
      <c r="D37" t="s">
        <v>329</v>
      </c>
      <c r="E37">
        <v>1990568</v>
      </c>
      <c r="F37">
        <v>1081296</v>
      </c>
      <c r="G37">
        <v>15082</v>
      </c>
      <c r="H37">
        <v>1588</v>
      </c>
      <c r="I37">
        <v>166</v>
      </c>
      <c r="J37">
        <v>297508</v>
      </c>
      <c r="K37">
        <v>219783</v>
      </c>
      <c r="N37">
        <f t="shared" si="0"/>
        <v>29.071040677113391</v>
      </c>
      <c r="P37" s="2" t="s">
        <v>417</v>
      </c>
    </row>
    <row r="38" spans="1:16" ht="22" customHeight="1" x14ac:dyDescent="0.2">
      <c r="A38" s="22">
        <v>46115</v>
      </c>
      <c r="B38" t="s">
        <v>367</v>
      </c>
      <c r="D38" t="s">
        <v>329</v>
      </c>
      <c r="E38">
        <v>276303</v>
      </c>
      <c r="F38">
        <v>1052103</v>
      </c>
      <c r="G38">
        <v>25988</v>
      </c>
      <c r="H38">
        <v>715</v>
      </c>
      <c r="I38">
        <v>46</v>
      </c>
      <c r="J38">
        <v>248142</v>
      </c>
      <c r="K38">
        <v>144868</v>
      </c>
      <c r="N38">
        <f t="shared" si="0"/>
        <v>26.127765057223485</v>
      </c>
      <c r="P38" s="2" t="s">
        <v>418</v>
      </c>
    </row>
    <row r="39" spans="1:16" ht="25" customHeight="1" x14ac:dyDescent="0.2">
      <c r="A39" s="22">
        <v>46038</v>
      </c>
      <c r="B39" t="s">
        <v>368</v>
      </c>
      <c r="D39" t="s">
        <v>329</v>
      </c>
      <c r="E39">
        <v>2067606</v>
      </c>
      <c r="F39">
        <v>1039569</v>
      </c>
      <c r="G39">
        <v>6884</v>
      </c>
      <c r="H39">
        <v>3249</v>
      </c>
      <c r="I39">
        <v>133</v>
      </c>
      <c r="J39">
        <v>262795</v>
      </c>
      <c r="K39">
        <v>179113</v>
      </c>
      <c r="N39">
        <f t="shared" si="0"/>
        <v>26.266750932357546</v>
      </c>
      <c r="P39" s="2" t="s">
        <v>419</v>
      </c>
    </row>
    <row r="40" spans="1:16" ht="24" customHeight="1" x14ac:dyDescent="0.2">
      <c r="A40" s="22">
        <v>46055</v>
      </c>
      <c r="B40" t="s">
        <v>369</v>
      </c>
      <c r="D40" t="s">
        <v>329</v>
      </c>
      <c r="E40">
        <v>2105014</v>
      </c>
      <c r="F40">
        <v>1039276</v>
      </c>
      <c r="G40">
        <v>11893</v>
      </c>
      <c r="H40">
        <v>9248</v>
      </c>
      <c r="I40">
        <v>41</v>
      </c>
      <c r="J40">
        <v>451036</v>
      </c>
      <c r="K40">
        <v>421160</v>
      </c>
      <c r="N40">
        <f t="shared" si="0"/>
        <v>45.437208210331036</v>
      </c>
      <c r="P40" s="2" t="s">
        <v>420</v>
      </c>
    </row>
    <row r="41" spans="1:16" ht="21" customHeight="1" x14ac:dyDescent="0.2">
      <c r="A41" s="22">
        <v>46112</v>
      </c>
      <c r="B41" t="s">
        <v>370</v>
      </c>
      <c r="D41" t="s">
        <v>329</v>
      </c>
      <c r="E41">
        <v>1756965</v>
      </c>
      <c r="F41">
        <v>1015567</v>
      </c>
      <c r="G41">
        <v>27403</v>
      </c>
      <c r="H41">
        <v>1462</v>
      </c>
      <c r="I41">
        <v>98</v>
      </c>
      <c r="J41">
        <v>129957</v>
      </c>
      <c r="K41">
        <v>103661</v>
      </c>
      <c r="N41">
        <f t="shared" si="0"/>
        <v>15.64840133639632</v>
      </c>
      <c r="P41" s="2" t="s">
        <v>421</v>
      </c>
    </row>
    <row r="42" spans="1:16" ht="25" customHeight="1" x14ac:dyDescent="0.2">
      <c r="A42" s="22">
        <v>46043</v>
      </c>
      <c r="B42" t="s">
        <v>371</v>
      </c>
      <c r="D42" t="s">
        <v>329</v>
      </c>
      <c r="E42">
        <v>1884675</v>
      </c>
      <c r="F42">
        <v>1003576</v>
      </c>
      <c r="G42">
        <v>11476</v>
      </c>
      <c r="H42">
        <v>3947</v>
      </c>
      <c r="I42">
        <v>252</v>
      </c>
      <c r="J42">
        <v>189495</v>
      </c>
      <c r="K42">
        <v>153676</v>
      </c>
      <c r="N42">
        <f t="shared" si="0"/>
        <v>20.443892639919646</v>
      </c>
      <c r="P42" s="2" t="s">
        <v>422</v>
      </c>
    </row>
    <row r="43" spans="1:16" ht="25" customHeight="1" x14ac:dyDescent="0.2">
      <c r="A43" s="22">
        <v>46103</v>
      </c>
      <c r="B43" t="s">
        <v>372</v>
      </c>
      <c r="D43" t="s">
        <v>329</v>
      </c>
      <c r="E43">
        <v>1902501</v>
      </c>
      <c r="F43">
        <v>998529</v>
      </c>
      <c r="G43">
        <v>10962</v>
      </c>
      <c r="H43">
        <v>2516</v>
      </c>
      <c r="I43">
        <v>74</v>
      </c>
      <c r="J43">
        <v>183218</v>
      </c>
      <c r="K43">
        <v>120530</v>
      </c>
      <c r="N43">
        <f t="shared" si="0"/>
        <v>19.705987507623714</v>
      </c>
      <c r="P43" s="2" t="s">
        <v>423</v>
      </c>
    </row>
    <row r="44" spans="1:16" ht="23" customHeight="1" x14ac:dyDescent="0.2">
      <c r="A44" s="22">
        <v>46039</v>
      </c>
      <c r="B44" t="s">
        <v>373</v>
      </c>
      <c r="D44" t="s">
        <v>329</v>
      </c>
      <c r="E44">
        <v>1818607</v>
      </c>
      <c r="F44">
        <v>992888</v>
      </c>
      <c r="G44">
        <v>15228</v>
      </c>
      <c r="H44">
        <v>4914</v>
      </c>
      <c r="I44">
        <v>182</v>
      </c>
      <c r="J44">
        <v>147180</v>
      </c>
      <c r="K44">
        <v>132006</v>
      </c>
      <c r="N44">
        <f t="shared" si="0"/>
        <v>16.870382157907034</v>
      </c>
      <c r="P44" s="2" t="s">
        <v>424</v>
      </c>
    </row>
    <row r="45" spans="1:16" ht="22" customHeight="1" x14ac:dyDescent="0.2">
      <c r="A45" s="22">
        <v>46112</v>
      </c>
      <c r="B45" t="s">
        <v>374</v>
      </c>
      <c r="D45" t="s">
        <v>329</v>
      </c>
      <c r="E45">
        <v>1930238</v>
      </c>
      <c r="F45">
        <v>991876</v>
      </c>
      <c r="G45">
        <v>11070</v>
      </c>
      <c r="H45">
        <v>9205</v>
      </c>
      <c r="I45">
        <v>105</v>
      </c>
      <c r="J45">
        <v>175518</v>
      </c>
      <c r="K45">
        <v>164273</v>
      </c>
      <c r="N45">
        <f t="shared" si="0"/>
        <v>19.750251039444446</v>
      </c>
      <c r="P45" s="2" t="s">
        <v>425</v>
      </c>
    </row>
    <row r="46" spans="1:16" ht="20" customHeight="1" x14ac:dyDescent="0.2">
      <c r="A46" s="22">
        <v>46077</v>
      </c>
      <c r="B46" t="s">
        <v>375</v>
      </c>
      <c r="D46" t="s">
        <v>329</v>
      </c>
      <c r="E46">
        <v>2022994</v>
      </c>
      <c r="F46">
        <v>990169</v>
      </c>
      <c r="G46">
        <v>23564</v>
      </c>
      <c r="H46">
        <v>2567</v>
      </c>
      <c r="I46">
        <v>55</v>
      </c>
      <c r="J46">
        <v>200756</v>
      </c>
      <c r="K46">
        <v>154139</v>
      </c>
      <c r="N46">
        <f t="shared" si="0"/>
        <v>22.919521819002615</v>
      </c>
      <c r="P46" s="2" t="s">
        <v>426</v>
      </c>
    </row>
    <row r="47" spans="1:16" ht="28" customHeight="1" x14ac:dyDescent="0.2">
      <c r="A47" s="22">
        <v>46042</v>
      </c>
      <c r="B47" t="s">
        <v>376</v>
      </c>
      <c r="D47" t="s">
        <v>329</v>
      </c>
      <c r="E47">
        <v>2103364</v>
      </c>
      <c r="F47">
        <v>973488</v>
      </c>
      <c r="G47">
        <v>34161</v>
      </c>
      <c r="H47">
        <v>1979</v>
      </c>
      <c r="I47">
        <v>687</v>
      </c>
      <c r="J47">
        <v>313574</v>
      </c>
      <c r="K47">
        <v>157123</v>
      </c>
      <c r="N47">
        <f t="shared" si="0"/>
        <v>35.994383084331801</v>
      </c>
      <c r="P47" s="2" t="s">
        <v>427</v>
      </c>
    </row>
    <row r="48" spans="1:16" ht="31" customHeight="1" x14ac:dyDescent="0.2">
      <c r="A48" s="22">
        <v>46113</v>
      </c>
      <c r="B48" t="s">
        <v>377</v>
      </c>
      <c r="D48" t="s">
        <v>329</v>
      </c>
      <c r="E48">
        <v>1641759</v>
      </c>
      <c r="F48">
        <v>968737</v>
      </c>
      <c r="G48">
        <v>23765</v>
      </c>
      <c r="H48">
        <v>1001</v>
      </c>
      <c r="I48">
        <v>82</v>
      </c>
      <c r="J48">
        <v>208443</v>
      </c>
      <c r="K48">
        <v>122502</v>
      </c>
      <c r="N48">
        <f t="shared" si="0"/>
        <v>24.08197477746798</v>
      </c>
      <c r="P48" s="2" t="s">
        <v>428</v>
      </c>
    </row>
    <row r="49" spans="1:16" ht="32" customHeight="1" x14ac:dyDescent="0.2">
      <c r="A49" s="22">
        <v>46098</v>
      </c>
      <c r="B49" t="s">
        <v>378</v>
      </c>
      <c r="D49" t="s">
        <v>329</v>
      </c>
      <c r="E49">
        <v>1949845</v>
      </c>
      <c r="F49">
        <v>958001</v>
      </c>
      <c r="G49">
        <v>41156</v>
      </c>
      <c r="H49">
        <v>1768</v>
      </c>
      <c r="I49">
        <v>107</v>
      </c>
      <c r="J49">
        <v>223688</v>
      </c>
      <c r="K49">
        <v>163020</v>
      </c>
      <c r="N49">
        <f t="shared" si="0"/>
        <v>27.841202670978422</v>
      </c>
      <c r="P49" s="2" t="s">
        <v>429</v>
      </c>
    </row>
    <row r="50" spans="1:16" ht="23" customHeight="1" x14ac:dyDescent="0.2">
      <c r="A50" s="22">
        <v>46086</v>
      </c>
      <c r="B50" t="s">
        <v>379</v>
      </c>
      <c r="D50" t="s">
        <v>329</v>
      </c>
      <c r="E50">
        <v>1788723</v>
      </c>
      <c r="F50">
        <v>948172</v>
      </c>
      <c r="G50">
        <v>21955</v>
      </c>
      <c r="H50">
        <v>3881</v>
      </c>
      <c r="I50">
        <v>316</v>
      </c>
      <c r="J50">
        <v>151408</v>
      </c>
      <c r="K50">
        <v>131186</v>
      </c>
      <c r="N50">
        <f t="shared" si="0"/>
        <v>18.726560159970976</v>
      </c>
      <c r="P50" s="2" t="s">
        <v>430</v>
      </c>
    </row>
    <row r="51" spans="1:16" ht="25" customHeight="1" x14ac:dyDescent="0.2">
      <c r="A51" s="22">
        <v>46112</v>
      </c>
      <c r="B51" t="s">
        <v>380</v>
      </c>
      <c r="D51" t="s">
        <v>329</v>
      </c>
      <c r="E51">
        <v>1534584</v>
      </c>
      <c r="F51">
        <v>945255</v>
      </c>
      <c r="G51">
        <v>22642</v>
      </c>
      <c r="H51">
        <v>594</v>
      </c>
      <c r="I51">
        <v>47</v>
      </c>
      <c r="J51">
        <v>123004</v>
      </c>
      <c r="K51">
        <v>96816</v>
      </c>
      <c r="N51">
        <f t="shared" si="0"/>
        <v>15.475929775563207</v>
      </c>
      <c r="P51" s="2" t="s">
        <v>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CF31-BF86-F044-B3AD-C92DF0B4774C}">
  <dimension ref="A1:O51"/>
  <sheetViews>
    <sheetView topLeftCell="B1" zoomScale="125" workbookViewId="0">
      <selection activeCell="P1" sqref="P1:P1048576"/>
    </sheetView>
  </sheetViews>
  <sheetFormatPr baseColWidth="10" defaultRowHeight="16" x14ac:dyDescent="0.2"/>
  <cols>
    <col min="1" max="1" width="14" customWidth="1"/>
  </cols>
  <sheetData>
    <row r="1" spans="1:15" x14ac:dyDescent="0.2">
      <c r="A1" t="s">
        <v>96</v>
      </c>
      <c r="B1" t="s">
        <v>432</v>
      </c>
      <c r="C1" t="s">
        <v>7</v>
      </c>
      <c r="D1" t="s">
        <v>2</v>
      </c>
      <c r="E1" t="s">
        <v>433</v>
      </c>
      <c r="F1" t="s">
        <v>106</v>
      </c>
      <c r="G1" t="s">
        <v>434</v>
      </c>
      <c r="H1" t="s">
        <v>435</v>
      </c>
      <c r="I1" t="s">
        <v>101</v>
      </c>
      <c r="J1" t="s">
        <v>436</v>
      </c>
      <c r="K1" t="s">
        <v>437</v>
      </c>
      <c r="L1" t="s">
        <v>441</v>
      </c>
      <c r="M1" t="s">
        <v>3</v>
      </c>
      <c r="N1" t="s">
        <v>13</v>
      </c>
      <c r="O1" t="s">
        <v>438</v>
      </c>
    </row>
    <row r="2" spans="1:15" x14ac:dyDescent="0.2">
      <c r="A2" s="1">
        <v>45244</v>
      </c>
      <c r="B2" t="s">
        <v>439</v>
      </c>
      <c r="C2" t="s">
        <v>15</v>
      </c>
      <c r="D2" t="s">
        <v>440</v>
      </c>
      <c r="E2">
        <v>7815081</v>
      </c>
      <c r="F2">
        <v>8660</v>
      </c>
      <c r="G2">
        <v>276019</v>
      </c>
      <c r="H2">
        <v>2800</v>
      </c>
      <c r="I2">
        <v>1201</v>
      </c>
      <c r="J2">
        <v>1670</v>
      </c>
      <c r="K2">
        <v>3010</v>
      </c>
      <c r="L2">
        <v>5391</v>
      </c>
      <c r="M2" s="26">
        <f>(G2/E2)</f>
        <v>3.5318763810637407E-2</v>
      </c>
      <c r="O2" t="s">
        <v>444</v>
      </c>
    </row>
    <row r="3" spans="1:15" ht="18" customHeight="1" x14ac:dyDescent="0.2">
      <c r="A3" s="1">
        <v>45234</v>
      </c>
      <c r="B3" t="s">
        <v>442</v>
      </c>
      <c r="C3" t="s">
        <v>446</v>
      </c>
      <c r="D3" t="s">
        <v>440</v>
      </c>
      <c r="E3">
        <v>4685339</v>
      </c>
      <c r="F3">
        <v>15640</v>
      </c>
      <c r="G3">
        <v>259809</v>
      </c>
      <c r="H3">
        <v>1435</v>
      </c>
      <c r="I3">
        <v>820</v>
      </c>
      <c r="J3">
        <v>881</v>
      </c>
      <c r="K3">
        <v>2610</v>
      </c>
      <c r="L3">
        <v>4888</v>
      </c>
      <c r="M3" s="26">
        <f t="shared" ref="M3:M51" si="0">(G3/E3)</f>
        <v>5.5451483873418764E-2</v>
      </c>
      <c r="O3" s="2" t="s">
        <v>443</v>
      </c>
    </row>
    <row r="4" spans="1:15" x14ac:dyDescent="0.2">
      <c r="A4" s="1">
        <v>45249</v>
      </c>
      <c r="B4" t="s">
        <v>445</v>
      </c>
      <c r="C4" t="s">
        <v>15</v>
      </c>
      <c r="D4" t="s">
        <v>440</v>
      </c>
      <c r="E4">
        <v>4801917</v>
      </c>
      <c r="F4">
        <v>10920</v>
      </c>
      <c r="G4">
        <v>215069</v>
      </c>
      <c r="H4">
        <v>555</v>
      </c>
      <c r="I4">
        <v>888</v>
      </c>
      <c r="J4">
        <v>1701</v>
      </c>
      <c r="K4">
        <v>2470</v>
      </c>
      <c r="L4">
        <v>3120</v>
      </c>
      <c r="M4" s="26">
        <f t="shared" si="0"/>
        <v>4.4788154397504165E-2</v>
      </c>
      <c r="O4" t="s">
        <v>447</v>
      </c>
    </row>
    <row r="5" spans="1:15" x14ac:dyDescent="0.2">
      <c r="A5" s="1">
        <v>45242</v>
      </c>
      <c r="B5" t="s">
        <v>448</v>
      </c>
      <c r="C5" t="s">
        <v>446</v>
      </c>
      <c r="D5" t="s">
        <v>440</v>
      </c>
      <c r="E5">
        <v>9368330</v>
      </c>
      <c r="F5">
        <v>6210</v>
      </c>
      <c r="G5">
        <v>214534</v>
      </c>
      <c r="H5">
        <v>1234</v>
      </c>
      <c r="I5">
        <v>829</v>
      </c>
      <c r="J5">
        <v>921</v>
      </c>
      <c r="K5">
        <v>2401</v>
      </c>
      <c r="L5">
        <v>3346</v>
      </c>
      <c r="M5" s="26">
        <f t="shared" si="0"/>
        <v>2.289991919584387E-2</v>
      </c>
      <c r="O5" t="s">
        <v>449</v>
      </c>
    </row>
    <row r="6" spans="1:15" x14ac:dyDescent="0.2">
      <c r="A6" s="1">
        <v>45177</v>
      </c>
      <c r="B6" t="s">
        <v>450</v>
      </c>
      <c r="C6" t="s">
        <v>15</v>
      </c>
      <c r="D6" t="s">
        <v>451</v>
      </c>
      <c r="E6">
        <v>7364830</v>
      </c>
      <c r="F6">
        <v>201101</v>
      </c>
      <c r="G6">
        <v>118391</v>
      </c>
      <c r="H6">
        <v>219</v>
      </c>
      <c r="I6">
        <v>524</v>
      </c>
      <c r="J6">
        <v>1861</v>
      </c>
      <c r="K6">
        <v>3201</v>
      </c>
      <c r="L6">
        <v>1919</v>
      </c>
      <c r="M6" s="26">
        <f t="shared" si="0"/>
        <v>1.6075184355918603E-2</v>
      </c>
      <c r="O6" t="s">
        <v>452</v>
      </c>
    </row>
    <row r="7" spans="1:15" x14ac:dyDescent="0.2">
      <c r="A7" s="1">
        <v>45175</v>
      </c>
      <c r="B7" t="s">
        <v>453</v>
      </c>
      <c r="C7" t="s">
        <v>15</v>
      </c>
      <c r="D7" t="s">
        <v>451</v>
      </c>
      <c r="E7">
        <v>2914327</v>
      </c>
      <c r="F7">
        <v>112101</v>
      </c>
      <c r="G7">
        <v>185624</v>
      </c>
      <c r="H7">
        <v>261</v>
      </c>
      <c r="I7">
        <v>1120</v>
      </c>
      <c r="J7">
        <v>1232</v>
      </c>
      <c r="K7">
        <v>2146</v>
      </c>
      <c r="L7">
        <v>2676</v>
      </c>
      <c r="M7" s="26">
        <f t="shared" si="0"/>
        <v>6.3693607477815634E-2</v>
      </c>
      <c r="O7" t="s">
        <v>454</v>
      </c>
    </row>
    <row r="8" spans="1:15" x14ac:dyDescent="0.2">
      <c r="A8" s="1">
        <v>45167</v>
      </c>
      <c r="B8" t="s">
        <v>455</v>
      </c>
      <c r="C8" t="s">
        <v>446</v>
      </c>
      <c r="D8" t="s">
        <v>456</v>
      </c>
      <c r="E8">
        <v>1254121</v>
      </c>
      <c r="F8">
        <v>5401</v>
      </c>
      <c r="G8">
        <v>21986</v>
      </c>
      <c r="H8">
        <v>165</v>
      </c>
      <c r="I8">
        <v>300</v>
      </c>
      <c r="J8">
        <v>789</v>
      </c>
      <c r="K8">
        <v>504</v>
      </c>
      <c r="L8">
        <v>1395</v>
      </c>
      <c r="M8" s="26">
        <f t="shared" si="0"/>
        <v>1.7531003786715956E-2</v>
      </c>
      <c r="O8" t="s">
        <v>457</v>
      </c>
    </row>
    <row r="9" spans="1:15" ht="19" customHeight="1" x14ac:dyDescent="0.2">
      <c r="A9" s="1">
        <v>45282</v>
      </c>
      <c r="B9" t="s">
        <v>458</v>
      </c>
      <c r="C9" t="s">
        <v>15</v>
      </c>
      <c r="D9" t="s">
        <v>440</v>
      </c>
      <c r="E9">
        <v>4108293</v>
      </c>
      <c r="F9">
        <v>11631</v>
      </c>
      <c r="G9">
        <v>211090</v>
      </c>
      <c r="H9">
        <v>1001</v>
      </c>
      <c r="I9">
        <v>932</v>
      </c>
      <c r="J9">
        <v>1141</v>
      </c>
      <c r="K9">
        <v>2561</v>
      </c>
      <c r="L9">
        <v>2106</v>
      </c>
      <c r="M9" s="26">
        <f t="shared" si="0"/>
        <v>5.1381437497276847E-2</v>
      </c>
      <c r="O9" s="2" t="s">
        <v>459</v>
      </c>
    </row>
    <row r="10" spans="1:15" x14ac:dyDescent="0.2">
      <c r="A10" s="1">
        <v>45283</v>
      </c>
      <c r="B10" t="s">
        <v>461</v>
      </c>
      <c r="C10" t="s">
        <v>446</v>
      </c>
      <c r="D10" t="s">
        <v>440</v>
      </c>
      <c r="E10">
        <v>4460109</v>
      </c>
      <c r="F10">
        <v>8050</v>
      </c>
      <c r="G10">
        <v>292190</v>
      </c>
      <c r="H10">
        <v>867</v>
      </c>
      <c r="I10">
        <v>400</v>
      </c>
      <c r="J10">
        <v>1751</v>
      </c>
      <c r="K10">
        <v>2261</v>
      </c>
      <c r="L10">
        <v>16853</v>
      </c>
      <c r="M10" s="26">
        <f t="shared" si="0"/>
        <v>6.5511851840392238E-2</v>
      </c>
      <c r="O10" t="s">
        <v>460</v>
      </c>
    </row>
    <row r="11" spans="1:15" x14ac:dyDescent="0.2">
      <c r="A11" s="1">
        <v>45257</v>
      </c>
      <c r="B11" t="s">
        <v>462</v>
      </c>
      <c r="C11" t="s">
        <v>446</v>
      </c>
      <c r="D11" t="s">
        <v>451</v>
      </c>
      <c r="E11">
        <v>2021012</v>
      </c>
      <c r="F11">
        <v>8061</v>
      </c>
      <c r="G11">
        <v>45948</v>
      </c>
      <c r="H11">
        <v>134</v>
      </c>
      <c r="I11">
        <v>300</v>
      </c>
      <c r="J11">
        <v>3010</v>
      </c>
      <c r="K11">
        <v>1153</v>
      </c>
      <c r="L11">
        <v>2115</v>
      </c>
      <c r="M11" s="26">
        <f t="shared" si="0"/>
        <v>2.2735144571135648E-2</v>
      </c>
      <c r="O11" t="s">
        <v>463</v>
      </c>
    </row>
    <row r="12" spans="1:15" ht="21" customHeight="1" x14ac:dyDescent="0.2">
      <c r="A12" s="1">
        <v>45302</v>
      </c>
      <c r="B12" s="2" t="s">
        <v>464</v>
      </c>
      <c r="C12" t="s">
        <v>15</v>
      </c>
      <c r="D12" t="s">
        <v>451</v>
      </c>
      <c r="E12">
        <v>2135192</v>
      </c>
      <c r="F12">
        <v>19050</v>
      </c>
      <c r="G12">
        <v>62353</v>
      </c>
      <c r="H12">
        <v>400</v>
      </c>
      <c r="I12">
        <v>120</v>
      </c>
      <c r="J12">
        <v>4111</v>
      </c>
      <c r="K12">
        <v>2050</v>
      </c>
      <c r="L12">
        <v>1640</v>
      </c>
      <c r="M12" s="26">
        <f t="shared" si="0"/>
        <v>2.9202526049179653E-2</v>
      </c>
      <c r="O12" t="s">
        <v>465</v>
      </c>
    </row>
    <row r="13" spans="1:15" ht="15" customHeight="1" x14ac:dyDescent="0.2">
      <c r="A13" s="1">
        <v>45313</v>
      </c>
      <c r="B13" t="s">
        <v>466</v>
      </c>
      <c r="C13" t="s">
        <v>47</v>
      </c>
      <c r="D13" t="s">
        <v>451</v>
      </c>
      <c r="E13">
        <v>2419023</v>
      </c>
      <c r="F13">
        <v>10040</v>
      </c>
      <c r="G13">
        <v>55204</v>
      </c>
      <c r="H13">
        <v>137</v>
      </c>
      <c r="I13">
        <v>203</v>
      </c>
      <c r="J13">
        <v>1820</v>
      </c>
      <c r="K13">
        <v>2480</v>
      </c>
      <c r="L13">
        <v>1447</v>
      </c>
      <c r="M13" s="26">
        <f t="shared" si="0"/>
        <v>2.2820783431988866E-2</v>
      </c>
      <c r="O13" s="2" t="s">
        <v>467</v>
      </c>
    </row>
    <row r="14" spans="1:15" x14ac:dyDescent="0.2">
      <c r="A14" s="1">
        <v>45302</v>
      </c>
      <c r="B14" t="s">
        <v>468</v>
      </c>
      <c r="C14" t="s">
        <v>47</v>
      </c>
      <c r="D14" t="s">
        <v>451</v>
      </c>
      <c r="E14">
        <v>1867662</v>
      </c>
      <c r="F14">
        <v>2291</v>
      </c>
      <c r="G14">
        <v>31010</v>
      </c>
      <c r="H14">
        <v>145</v>
      </c>
      <c r="I14">
        <v>200</v>
      </c>
      <c r="J14">
        <v>2290</v>
      </c>
      <c r="K14">
        <v>2111</v>
      </c>
      <c r="L14">
        <v>1088</v>
      </c>
      <c r="M14" s="26">
        <f t="shared" si="0"/>
        <v>1.6603646698385467E-2</v>
      </c>
      <c r="O14" t="s">
        <v>469</v>
      </c>
    </row>
    <row r="15" spans="1:15" x14ac:dyDescent="0.2">
      <c r="A15" s="1">
        <v>46048</v>
      </c>
      <c r="B15" t="s">
        <v>470</v>
      </c>
      <c r="C15" t="s">
        <v>15</v>
      </c>
      <c r="D15" t="s">
        <v>440</v>
      </c>
      <c r="E15">
        <v>7983012</v>
      </c>
      <c r="F15">
        <v>25662</v>
      </c>
      <c r="G15">
        <v>74780</v>
      </c>
      <c r="H15">
        <v>3332</v>
      </c>
      <c r="I15">
        <v>5400</v>
      </c>
      <c r="J15">
        <v>823</v>
      </c>
      <c r="K15">
        <v>3421</v>
      </c>
      <c r="L15">
        <v>1508</v>
      </c>
      <c r="M15" s="26">
        <f t="shared" si="0"/>
        <v>9.3673916561819014E-3</v>
      </c>
      <c r="O15" t="s">
        <v>471</v>
      </c>
    </row>
    <row r="16" spans="1:15" x14ac:dyDescent="0.2">
      <c r="A16" s="1">
        <v>46043</v>
      </c>
      <c r="B16" t="s">
        <v>472</v>
      </c>
      <c r="C16" t="s">
        <v>15</v>
      </c>
      <c r="D16" t="s">
        <v>451</v>
      </c>
      <c r="E16">
        <v>5290241</v>
      </c>
      <c r="F16">
        <v>26880</v>
      </c>
      <c r="G16">
        <v>217672</v>
      </c>
      <c r="H16">
        <v>1203</v>
      </c>
      <c r="I16">
        <v>4002</v>
      </c>
      <c r="J16">
        <v>999</v>
      </c>
      <c r="K16">
        <v>1984</v>
      </c>
      <c r="L16">
        <v>1953</v>
      </c>
      <c r="M16" s="26">
        <f t="shared" si="0"/>
        <v>4.1145951573850793E-2</v>
      </c>
      <c r="O16" t="s">
        <v>473</v>
      </c>
    </row>
    <row r="17" spans="1:15" x14ac:dyDescent="0.2">
      <c r="A17" s="1">
        <v>45450</v>
      </c>
      <c r="B17" t="s">
        <v>474</v>
      </c>
      <c r="C17" t="s">
        <v>15</v>
      </c>
      <c r="D17" t="s">
        <v>451</v>
      </c>
      <c r="E17">
        <v>6502902</v>
      </c>
      <c r="F17">
        <v>4677</v>
      </c>
      <c r="G17">
        <v>94551</v>
      </c>
      <c r="H17">
        <v>443</v>
      </c>
      <c r="I17">
        <v>203</v>
      </c>
      <c r="J17">
        <v>1302</v>
      </c>
      <c r="K17">
        <v>1124</v>
      </c>
      <c r="L17">
        <v>2003</v>
      </c>
      <c r="M17" s="26">
        <f t="shared" si="0"/>
        <v>1.4539816223587562E-2</v>
      </c>
      <c r="O17" t="s">
        <v>478</v>
      </c>
    </row>
    <row r="18" spans="1:15" x14ac:dyDescent="0.2">
      <c r="A18" s="1">
        <v>45458</v>
      </c>
      <c r="B18" t="s">
        <v>475</v>
      </c>
      <c r="C18" t="s">
        <v>476</v>
      </c>
      <c r="D18" t="s">
        <v>440</v>
      </c>
      <c r="E18">
        <v>3602424</v>
      </c>
      <c r="F18">
        <v>20724</v>
      </c>
      <c r="G18">
        <v>241042</v>
      </c>
      <c r="H18">
        <v>3102</v>
      </c>
      <c r="I18">
        <v>1023</v>
      </c>
      <c r="J18">
        <v>1856</v>
      </c>
      <c r="K18">
        <v>5032</v>
      </c>
      <c r="L18">
        <v>5417</v>
      </c>
      <c r="M18" s="26">
        <f t="shared" si="0"/>
        <v>6.6911057665616266E-2</v>
      </c>
      <c r="O18" t="s">
        <v>477</v>
      </c>
    </row>
    <row r="19" spans="1:15" ht="22" customHeight="1" x14ac:dyDescent="0.2">
      <c r="A19" s="1">
        <v>45465</v>
      </c>
      <c r="B19" t="s">
        <v>479</v>
      </c>
      <c r="C19" t="s">
        <v>47</v>
      </c>
      <c r="D19" t="s">
        <v>451</v>
      </c>
      <c r="E19">
        <v>3201902</v>
      </c>
      <c r="F19">
        <v>12142</v>
      </c>
      <c r="G19">
        <v>33952</v>
      </c>
      <c r="H19">
        <v>336</v>
      </c>
      <c r="I19">
        <v>340</v>
      </c>
      <c r="J19">
        <v>543</v>
      </c>
      <c r="K19">
        <v>1410</v>
      </c>
      <c r="L19">
        <v>1470</v>
      </c>
      <c r="M19" s="26">
        <f t="shared" si="0"/>
        <v>1.0603697427341624E-2</v>
      </c>
      <c r="O19" s="2" t="s">
        <v>480</v>
      </c>
    </row>
    <row r="20" spans="1:15" x14ac:dyDescent="0.2">
      <c r="A20" s="1">
        <v>45469</v>
      </c>
      <c r="B20" t="s">
        <v>482</v>
      </c>
      <c r="C20" t="s">
        <v>476</v>
      </c>
      <c r="D20" t="s">
        <v>451</v>
      </c>
      <c r="E20">
        <v>2101010</v>
      </c>
      <c r="F20">
        <v>6090</v>
      </c>
      <c r="G20">
        <v>23207</v>
      </c>
      <c r="H20">
        <v>61</v>
      </c>
      <c r="I20">
        <v>200</v>
      </c>
      <c r="J20">
        <v>984</v>
      </c>
      <c r="K20">
        <v>531</v>
      </c>
      <c r="L20">
        <v>970</v>
      </c>
      <c r="M20" s="26">
        <f t="shared" si="0"/>
        <v>1.1045639954117305E-2</v>
      </c>
      <c r="O20" t="s">
        <v>481</v>
      </c>
    </row>
    <row r="21" spans="1:15" x14ac:dyDescent="0.2">
      <c r="A21" s="1">
        <v>45215</v>
      </c>
      <c r="B21" t="s">
        <v>483</v>
      </c>
      <c r="C21" t="s">
        <v>446</v>
      </c>
      <c r="D21" t="s">
        <v>451</v>
      </c>
      <c r="E21">
        <v>27800900</v>
      </c>
      <c r="F21">
        <v>10650</v>
      </c>
      <c r="G21">
        <v>185010</v>
      </c>
      <c r="H21">
        <v>1601</v>
      </c>
      <c r="I21">
        <v>302</v>
      </c>
      <c r="J21">
        <v>1672</v>
      </c>
      <c r="K21">
        <v>3850</v>
      </c>
      <c r="L21">
        <v>13729</v>
      </c>
      <c r="M21" s="26">
        <f t="shared" si="0"/>
        <v>6.6548205273929979E-3</v>
      </c>
      <c r="O21" t="s">
        <v>484</v>
      </c>
    </row>
    <row r="22" spans="1:15" x14ac:dyDescent="0.2">
      <c r="A22" s="1">
        <v>45199</v>
      </c>
      <c r="B22" t="s">
        <v>485</v>
      </c>
      <c r="C22" t="s">
        <v>446</v>
      </c>
      <c r="D22" t="s">
        <v>456</v>
      </c>
      <c r="E22">
        <v>2801904</v>
      </c>
      <c r="F22">
        <v>4091</v>
      </c>
      <c r="G22">
        <v>21042</v>
      </c>
      <c r="H22">
        <v>59</v>
      </c>
      <c r="I22">
        <v>90</v>
      </c>
      <c r="J22">
        <v>2001</v>
      </c>
      <c r="K22">
        <v>1410</v>
      </c>
      <c r="L22">
        <v>3645</v>
      </c>
      <c r="M22" s="26">
        <f t="shared" si="0"/>
        <v>7.5098932725746496E-3</v>
      </c>
      <c r="O22" t="s">
        <v>486</v>
      </c>
    </row>
    <row r="23" spans="1:15" x14ac:dyDescent="0.2">
      <c r="A23" s="1">
        <v>46120</v>
      </c>
      <c r="B23" t="s">
        <v>490</v>
      </c>
      <c r="C23" t="s">
        <v>446</v>
      </c>
      <c r="D23" t="s">
        <v>440</v>
      </c>
      <c r="E23">
        <v>3846849</v>
      </c>
      <c r="F23">
        <v>2630</v>
      </c>
      <c r="G23">
        <v>23683</v>
      </c>
      <c r="H23">
        <v>1190</v>
      </c>
      <c r="I23">
        <v>611</v>
      </c>
      <c r="J23">
        <v>2394</v>
      </c>
      <c r="K23">
        <v>225</v>
      </c>
      <c r="L23">
        <v>1476</v>
      </c>
      <c r="M23" s="26">
        <f t="shared" si="0"/>
        <v>6.156467280103794E-3</v>
      </c>
      <c r="O23" t="s">
        <v>489</v>
      </c>
    </row>
    <row r="24" spans="1:15" x14ac:dyDescent="0.2">
      <c r="A24" s="1">
        <v>46132</v>
      </c>
      <c r="B24" t="s">
        <v>491</v>
      </c>
      <c r="C24" t="s">
        <v>497</v>
      </c>
      <c r="D24" t="s">
        <v>451</v>
      </c>
      <c r="E24">
        <v>3805525</v>
      </c>
      <c r="F24">
        <v>14101</v>
      </c>
      <c r="G24">
        <v>210857</v>
      </c>
      <c r="H24">
        <v>251</v>
      </c>
      <c r="I24">
        <v>91</v>
      </c>
      <c r="J24">
        <v>594</v>
      </c>
      <c r="K24">
        <v>738</v>
      </c>
      <c r="L24">
        <v>407</v>
      </c>
      <c r="M24" s="26">
        <f t="shared" si="0"/>
        <v>5.5408123714861944E-2</v>
      </c>
      <c r="O24" t="s">
        <v>492</v>
      </c>
    </row>
    <row r="25" spans="1:15" ht="15" customHeight="1" x14ac:dyDescent="0.2">
      <c r="A25" s="1">
        <v>46140</v>
      </c>
      <c r="B25" t="s">
        <v>494</v>
      </c>
      <c r="C25" t="s">
        <v>15</v>
      </c>
      <c r="D25" t="s">
        <v>451</v>
      </c>
      <c r="E25">
        <v>3762431</v>
      </c>
      <c r="F25">
        <v>2906</v>
      </c>
      <c r="G25">
        <v>33382</v>
      </c>
      <c r="H25">
        <v>176</v>
      </c>
      <c r="I25">
        <v>80</v>
      </c>
      <c r="J25">
        <v>878</v>
      </c>
      <c r="K25">
        <v>258</v>
      </c>
      <c r="L25">
        <v>214</v>
      </c>
      <c r="M25" s="26">
        <f t="shared" si="0"/>
        <v>8.8724550696079214E-3</v>
      </c>
      <c r="O25" s="2" t="s">
        <v>493</v>
      </c>
    </row>
    <row r="26" spans="1:15" x14ac:dyDescent="0.2">
      <c r="A26" s="1">
        <v>46102</v>
      </c>
      <c r="B26" t="s">
        <v>487</v>
      </c>
      <c r="C26" t="s">
        <v>15</v>
      </c>
      <c r="D26" t="s">
        <v>451</v>
      </c>
      <c r="E26">
        <v>3472653</v>
      </c>
      <c r="F26">
        <v>11802</v>
      </c>
      <c r="G26">
        <v>78978</v>
      </c>
      <c r="H26">
        <v>480</v>
      </c>
      <c r="I26">
        <v>116</v>
      </c>
      <c r="J26">
        <v>1041</v>
      </c>
      <c r="K26">
        <v>712</v>
      </c>
      <c r="L26">
        <v>481</v>
      </c>
      <c r="M26" s="26">
        <f t="shared" si="0"/>
        <v>2.2742842431996518E-2</v>
      </c>
      <c r="O26" t="s">
        <v>488</v>
      </c>
    </row>
    <row r="27" spans="1:15" ht="18" customHeight="1" x14ac:dyDescent="0.2">
      <c r="A27" s="1">
        <v>46114</v>
      </c>
      <c r="B27" s="2" t="s">
        <v>495</v>
      </c>
      <c r="C27" t="s">
        <v>496</v>
      </c>
      <c r="D27" t="s">
        <v>451</v>
      </c>
      <c r="E27">
        <v>2672961</v>
      </c>
      <c r="F27">
        <v>13150</v>
      </c>
      <c r="G27">
        <v>57826</v>
      </c>
      <c r="H27">
        <v>2144</v>
      </c>
      <c r="I27">
        <v>732</v>
      </c>
      <c r="J27">
        <v>3863</v>
      </c>
      <c r="K27">
        <v>3368</v>
      </c>
      <c r="L27">
        <v>1289</v>
      </c>
      <c r="M27" s="26">
        <f t="shared" si="0"/>
        <v>2.163368638749312E-2</v>
      </c>
      <c r="O27" s="2" t="s">
        <v>498</v>
      </c>
    </row>
    <row r="28" spans="1:15" x14ac:dyDescent="0.2">
      <c r="A28" s="1">
        <v>46122</v>
      </c>
      <c r="B28" t="s">
        <v>499</v>
      </c>
      <c r="C28" t="s">
        <v>15</v>
      </c>
      <c r="D28" t="s">
        <v>451</v>
      </c>
      <c r="E28">
        <v>2247128</v>
      </c>
      <c r="F28">
        <v>2536</v>
      </c>
      <c r="G28">
        <v>138278</v>
      </c>
      <c r="H28">
        <v>143</v>
      </c>
      <c r="I28">
        <v>66</v>
      </c>
      <c r="J28">
        <v>586</v>
      </c>
      <c r="K28">
        <v>150</v>
      </c>
      <c r="L28">
        <v>206</v>
      </c>
      <c r="M28" s="26">
        <f t="shared" si="0"/>
        <v>6.1535435453610121E-2</v>
      </c>
      <c r="O28" t="s">
        <v>500</v>
      </c>
    </row>
    <row r="29" spans="1:15" ht="17" customHeight="1" x14ac:dyDescent="0.2">
      <c r="A29" s="1">
        <v>46100</v>
      </c>
      <c r="B29" t="s">
        <v>501</v>
      </c>
      <c r="C29" t="s">
        <v>15</v>
      </c>
      <c r="D29" t="s">
        <v>451</v>
      </c>
      <c r="E29">
        <v>2153828</v>
      </c>
      <c r="F29">
        <v>9025</v>
      </c>
      <c r="G29">
        <v>74922</v>
      </c>
      <c r="H29">
        <v>257</v>
      </c>
      <c r="I29">
        <v>60</v>
      </c>
      <c r="J29">
        <v>566</v>
      </c>
      <c r="K29">
        <v>740</v>
      </c>
      <c r="L29">
        <v>251</v>
      </c>
      <c r="M29" s="26">
        <f t="shared" si="0"/>
        <v>3.478550747784874E-2</v>
      </c>
      <c r="O29" s="2" t="s">
        <v>502</v>
      </c>
    </row>
    <row r="30" spans="1:15" ht="17" customHeight="1" x14ac:dyDescent="0.2">
      <c r="A30" s="1">
        <v>46135</v>
      </c>
      <c r="B30" s="2" t="s">
        <v>503</v>
      </c>
      <c r="C30" t="s">
        <v>15</v>
      </c>
      <c r="D30" t="s">
        <v>451</v>
      </c>
      <c r="E30">
        <v>1988982</v>
      </c>
      <c r="F30">
        <v>9820</v>
      </c>
      <c r="G30">
        <v>209376</v>
      </c>
      <c r="H30">
        <v>159</v>
      </c>
      <c r="I30">
        <v>36</v>
      </c>
      <c r="J30">
        <v>700</v>
      </c>
      <c r="K30">
        <v>390</v>
      </c>
      <c r="L30">
        <v>230</v>
      </c>
      <c r="M30" s="26">
        <f t="shared" si="0"/>
        <v>0.10526792097666042</v>
      </c>
      <c r="O30" t="s">
        <v>504</v>
      </c>
    </row>
    <row r="31" spans="1:15" ht="21" customHeight="1" x14ac:dyDescent="0.2">
      <c r="A31" s="1">
        <v>46129</v>
      </c>
      <c r="B31" t="s">
        <v>507</v>
      </c>
      <c r="C31" t="s">
        <v>496</v>
      </c>
      <c r="D31" t="s">
        <v>451</v>
      </c>
      <c r="E31">
        <v>1805452</v>
      </c>
      <c r="F31">
        <v>4379</v>
      </c>
      <c r="G31">
        <v>117855</v>
      </c>
      <c r="H31">
        <v>567</v>
      </c>
      <c r="I31">
        <v>399</v>
      </c>
      <c r="J31">
        <v>2059</v>
      </c>
      <c r="K31">
        <v>579</v>
      </c>
      <c r="L31">
        <v>304</v>
      </c>
      <c r="M31" s="26">
        <f t="shared" si="0"/>
        <v>6.5277282364748557E-2</v>
      </c>
      <c r="O31" s="2" t="s">
        <v>508</v>
      </c>
    </row>
    <row r="32" spans="1:15" x14ac:dyDescent="0.2">
      <c r="A32" s="1">
        <v>46095</v>
      </c>
      <c r="B32" t="s">
        <v>506</v>
      </c>
      <c r="C32" t="s">
        <v>15</v>
      </c>
      <c r="D32" t="s">
        <v>451</v>
      </c>
      <c r="E32">
        <v>1793312</v>
      </c>
      <c r="F32">
        <v>2472</v>
      </c>
      <c r="G32">
        <v>19367</v>
      </c>
      <c r="H32">
        <v>830</v>
      </c>
      <c r="I32">
        <v>276</v>
      </c>
      <c r="J32">
        <v>3350</v>
      </c>
      <c r="K32">
        <v>304</v>
      </c>
      <c r="L32">
        <v>578</v>
      </c>
      <c r="M32" s="26">
        <f t="shared" si="0"/>
        <v>1.0799570849913457E-2</v>
      </c>
      <c r="O32" t="s">
        <v>505</v>
      </c>
    </row>
    <row r="33" spans="1:15" ht="21" customHeight="1" x14ac:dyDescent="0.2">
      <c r="A33" s="1">
        <v>46133</v>
      </c>
      <c r="B33" t="s">
        <v>509</v>
      </c>
      <c r="C33" t="s">
        <v>15</v>
      </c>
      <c r="D33" t="s">
        <v>510</v>
      </c>
      <c r="E33">
        <v>1667920</v>
      </c>
      <c r="F33">
        <v>1518</v>
      </c>
      <c r="G33">
        <v>94562</v>
      </c>
      <c r="H33">
        <v>164</v>
      </c>
      <c r="I33">
        <v>27</v>
      </c>
      <c r="J33">
        <v>267</v>
      </c>
      <c r="K33">
        <v>118</v>
      </c>
      <c r="L33">
        <v>119</v>
      </c>
      <c r="M33" s="26">
        <f t="shared" si="0"/>
        <v>5.6694565686603672E-2</v>
      </c>
      <c r="O33" s="2" t="s">
        <v>511</v>
      </c>
    </row>
    <row r="34" spans="1:15" x14ac:dyDescent="0.2">
      <c r="A34" s="1">
        <v>46105</v>
      </c>
      <c r="B34" t="s">
        <v>512</v>
      </c>
      <c r="C34" t="s">
        <v>15</v>
      </c>
      <c r="D34" t="s">
        <v>440</v>
      </c>
      <c r="E34">
        <v>1585529</v>
      </c>
      <c r="F34">
        <v>2257</v>
      </c>
      <c r="G34">
        <v>5766</v>
      </c>
      <c r="H34">
        <v>868</v>
      </c>
      <c r="I34">
        <v>72</v>
      </c>
      <c r="J34">
        <v>83</v>
      </c>
      <c r="K34">
        <v>149</v>
      </c>
      <c r="L34">
        <v>129</v>
      </c>
      <c r="M34" s="26">
        <f t="shared" si="0"/>
        <v>3.6366411462672712E-3</v>
      </c>
      <c r="O34" t="s">
        <v>513</v>
      </c>
    </row>
    <row r="35" spans="1:15" ht="18" customHeight="1" x14ac:dyDescent="0.2">
      <c r="A35" s="1">
        <v>46131</v>
      </c>
      <c r="B35" t="s">
        <v>514</v>
      </c>
      <c r="C35" t="s">
        <v>15</v>
      </c>
      <c r="D35" t="s">
        <v>440</v>
      </c>
      <c r="E35">
        <v>1546059</v>
      </c>
      <c r="F35">
        <v>12290</v>
      </c>
      <c r="G35">
        <v>20726</v>
      </c>
      <c r="H35">
        <v>869</v>
      </c>
      <c r="I35">
        <v>161</v>
      </c>
      <c r="J35">
        <v>319</v>
      </c>
      <c r="K35">
        <v>970</v>
      </c>
      <c r="L35">
        <v>172</v>
      </c>
      <c r="M35" s="26">
        <f t="shared" si="0"/>
        <v>1.3405697971422824E-2</v>
      </c>
      <c r="O35" s="2" t="s">
        <v>515</v>
      </c>
    </row>
    <row r="36" spans="1:15" ht="18" customHeight="1" x14ac:dyDescent="0.2">
      <c r="A36" s="1">
        <v>46136</v>
      </c>
      <c r="B36" s="2" t="s">
        <v>516</v>
      </c>
      <c r="C36" t="s">
        <v>496</v>
      </c>
      <c r="D36" t="s">
        <v>440</v>
      </c>
      <c r="E36">
        <v>1517354</v>
      </c>
      <c r="F36">
        <v>738</v>
      </c>
      <c r="G36">
        <v>4615</v>
      </c>
      <c r="H36">
        <v>454</v>
      </c>
      <c r="I36">
        <v>203</v>
      </c>
      <c r="J36">
        <v>191</v>
      </c>
      <c r="K36">
        <v>118</v>
      </c>
      <c r="L36">
        <v>205</v>
      </c>
      <c r="M36" s="26">
        <f t="shared" si="0"/>
        <v>3.0414787847792934E-3</v>
      </c>
      <c r="O36" t="s">
        <v>517</v>
      </c>
    </row>
    <row r="37" spans="1:15" ht="21" customHeight="1" x14ac:dyDescent="0.2">
      <c r="A37" s="1">
        <v>46135</v>
      </c>
      <c r="B37" t="s">
        <v>518</v>
      </c>
      <c r="C37" t="s">
        <v>496</v>
      </c>
      <c r="D37" t="s">
        <v>451</v>
      </c>
      <c r="E37">
        <v>1499563</v>
      </c>
      <c r="F37">
        <v>8203</v>
      </c>
      <c r="G37">
        <v>24299</v>
      </c>
      <c r="H37">
        <v>353</v>
      </c>
      <c r="I37">
        <v>97</v>
      </c>
      <c r="J37">
        <v>1160</v>
      </c>
      <c r="K37">
        <v>666</v>
      </c>
      <c r="L37">
        <v>190</v>
      </c>
      <c r="M37" s="26">
        <f t="shared" si="0"/>
        <v>1.6204054114432005E-2</v>
      </c>
      <c r="O37" s="2" t="s">
        <v>519</v>
      </c>
    </row>
    <row r="38" spans="1:15" x14ac:dyDescent="0.2">
      <c r="A38" s="1">
        <v>46130</v>
      </c>
      <c r="B38" t="s">
        <v>520</v>
      </c>
      <c r="C38" t="s">
        <v>446</v>
      </c>
      <c r="D38" t="s">
        <v>451</v>
      </c>
      <c r="E38">
        <v>1457920</v>
      </c>
      <c r="F38">
        <v>14484</v>
      </c>
      <c r="G38">
        <v>404519</v>
      </c>
      <c r="H38">
        <v>512</v>
      </c>
      <c r="I38">
        <v>148</v>
      </c>
      <c r="J38">
        <v>1254</v>
      </c>
      <c r="K38">
        <v>876</v>
      </c>
      <c r="L38">
        <v>427</v>
      </c>
      <c r="M38" s="26">
        <f t="shared" si="0"/>
        <v>0.27746309811237929</v>
      </c>
      <c r="O38" t="s">
        <v>521</v>
      </c>
    </row>
    <row r="39" spans="1:15" ht="19" customHeight="1" x14ac:dyDescent="0.2">
      <c r="A39" s="1">
        <v>46138</v>
      </c>
      <c r="B39" t="s">
        <v>522</v>
      </c>
      <c r="C39" t="s">
        <v>496</v>
      </c>
      <c r="D39" t="s">
        <v>451</v>
      </c>
      <c r="E39">
        <v>1430074</v>
      </c>
      <c r="F39">
        <v>26849</v>
      </c>
      <c r="G39">
        <v>83468</v>
      </c>
      <c r="H39">
        <v>1398</v>
      </c>
      <c r="I39">
        <v>91</v>
      </c>
      <c r="J39">
        <v>475</v>
      </c>
      <c r="K39">
        <v>2947</v>
      </c>
      <c r="L39">
        <v>232</v>
      </c>
      <c r="M39" s="26">
        <f t="shared" si="0"/>
        <v>5.8366210419880368E-2</v>
      </c>
      <c r="O39" s="2" t="s">
        <v>523</v>
      </c>
    </row>
    <row r="40" spans="1:15" ht="18" customHeight="1" x14ac:dyDescent="0.2">
      <c r="A40" s="1">
        <v>46127</v>
      </c>
      <c r="B40" t="s">
        <v>524</v>
      </c>
      <c r="C40" t="s">
        <v>15</v>
      </c>
      <c r="D40" t="s">
        <v>440</v>
      </c>
      <c r="E40">
        <v>1368489</v>
      </c>
      <c r="F40">
        <v>6341</v>
      </c>
      <c r="G40">
        <v>11542</v>
      </c>
      <c r="H40">
        <v>633</v>
      </c>
      <c r="I40">
        <v>82</v>
      </c>
      <c r="J40">
        <v>131</v>
      </c>
      <c r="K40">
        <v>334</v>
      </c>
      <c r="L40">
        <v>139</v>
      </c>
      <c r="M40" s="26">
        <f t="shared" si="0"/>
        <v>8.4341196750576733E-3</v>
      </c>
      <c r="O40" s="2" t="s">
        <v>525</v>
      </c>
    </row>
    <row r="41" spans="1:15" ht="18" customHeight="1" x14ac:dyDescent="0.2">
      <c r="A41" s="1">
        <v>46135</v>
      </c>
      <c r="B41" t="s">
        <v>526</v>
      </c>
      <c r="C41" t="s">
        <v>446</v>
      </c>
      <c r="D41" t="s">
        <v>440</v>
      </c>
      <c r="E41">
        <v>1312637</v>
      </c>
      <c r="F41">
        <v>7633</v>
      </c>
      <c r="G41">
        <v>20499</v>
      </c>
      <c r="H41">
        <v>1777</v>
      </c>
      <c r="I41">
        <v>402</v>
      </c>
      <c r="J41">
        <v>548</v>
      </c>
      <c r="K41">
        <v>605</v>
      </c>
      <c r="L41">
        <v>229</v>
      </c>
      <c r="M41" s="26">
        <f t="shared" si="0"/>
        <v>1.5616655632897746E-2</v>
      </c>
      <c r="O41" s="2" t="s">
        <v>527</v>
      </c>
    </row>
    <row r="42" spans="1:15" ht="17" customHeight="1" x14ac:dyDescent="0.2">
      <c r="A42" s="1">
        <v>46139</v>
      </c>
      <c r="B42" t="s">
        <v>528</v>
      </c>
      <c r="C42" t="s">
        <v>446</v>
      </c>
      <c r="D42" t="s">
        <v>451</v>
      </c>
      <c r="E42">
        <v>1293638</v>
      </c>
      <c r="F42">
        <v>53869</v>
      </c>
      <c r="G42">
        <v>136479</v>
      </c>
      <c r="H42">
        <v>2583</v>
      </c>
      <c r="I42">
        <v>536</v>
      </c>
      <c r="J42">
        <v>630</v>
      </c>
      <c r="K42">
        <v>6618</v>
      </c>
      <c r="L42">
        <v>489</v>
      </c>
      <c r="M42" s="26">
        <f t="shared" si="0"/>
        <v>0.10550014764563193</v>
      </c>
      <c r="O42" s="2" t="s">
        <v>529</v>
      </c>
    </row>
    <row r="43" spans="1:15" ht="16" customHeight="1" x14ac:dyDescent="0.2">
      <c r="A43" s="1">
        <v>46123</v>
      </c>
      <c r="B43" t="s">
        <v>530</v>
      </c>
      <c r="C43" t="s">
        <v>496</v>
      </c>
      <c r="D43" t="s">
        <v>451</v>
      </c>
      <c r="E43">
        <v>1285669</v>
      </c>
      <c r="F43">
        <v>2174</v>
      </c>
      <c r="G43">
        <v>26445</v>
      </c>
      <c r="H43">
        <v>136</v>
      </c>
      <c r="I43">
        <v>51</v>
      </c>
      <c r="J43">
        <v>1389</v>
      </c>
      <c r="K43">
        <v>271</v>
      </c>
      <c r="L43">
        <v>155</v>
      </c>
      <c r="M43" s="26">
        <f t="shared" si="0"/>
        <v>2.0569057821258816E-2</v>
      </c>
      <c r="O43" s="2" t="s">
        <v>531</v>
      </c>
    </row>
    <row r="44" spans="1:15" ht="17" customHeight="1" x14ac:dyDescent="0.2">
      <c r="A44" s="1">
        <v>46104</v>
      </c>
      <c r="B44" t="s">
        <v>532</v>
      </c>
      <c r="C44" t="s">
        <v>15</v>
      </c>
      <c r="D44" t="s">
        <v>451</v>
      </c>
      <c r="E44">
        <v>1271045</v>
      </c>
      <c r="F44">
        <v>9117</v>
      </c>
      <c r="G44">
        <v>123983</v>
      </c>
      <c r="H44">
        <v>143</v>
      </c>
      <c r="I44">
        <v>26</v>
      </c>
      <c r="J44">
        <v>202</v>
      </c>
      <c r="K44">
        <v>392</v>
      </c>
      <c r="L44">
        <v>165</v>
      </c>
      <c r="M44" s="26">
        <f t="shared" si="0"/>
        <v>9.7544146745394536E-2</v>
      </c>
      <c r="O44" s="2" t="s">
        <v>533</v>
      </c>
    </row>
    <row r="45" spans="1:15" ht="17" customHeight="1" x14ac:dyDescent="0.2">
      <c r="A45" s="1">
        <v>46141</v>
      </c>
      <c r="B45" t="s">
        <v>534</v>
      </c>
      <c r="C45" t="s">
        <v>15</v>
      </c>
      <c r="D45" t="s">
        <v>440</v>
      </c>
      <c r="E45">
        <v>1250284</v>
      </c>
      <c r="F45">
        <v>6310</v>
      </c>
      <c r="G45">
        <v>18681</v>
      </c>
      <c r="H45">
        <v>1400</v>
      </c>
      <c r="I45">
        <v>95</v>
      </c>
      <c r="J45">
        <v>133</v>
      </c>
      <c r="K45">
        <v>474</v>
      </c>
      <c r="L45">
        <v>136</v>
      </c>
      <c r="M45" s="26">
        <f t="shared" si="0"/>
        <v>1.4941405312712952E-2</v>
      </c>
      <c r="O45" s="2" t="s">
        <v>535</v>
      </c>
    </row>
    <row r="46" spans="1:15" ht="17" customHeight="1" x14ac:dyDescent="0.2">
      <c r="A46" s="1">
        <v>46111</v>
      </c>
      <c r="B46" t="s">
        <v>536</v>
      </c>
      <c r="C46" t="s">
        <v>446</v>
      </c>
      <c r="D46" t="s">
        <v>440</v>
      </c>
      <c r="E46">
        <v>1241062</v>
      </c>
      <c r="F46">
        <v>3327</v>
      </c>
      <c r="G46">
        <v>17064</v>
      </c>
      <c r="H46">
        <v>661</v>
      </c>
      <c r="I46">
        <v>278</v>
      </c>
      <c r="J46">
        <v>444</v>
      </c>
      <c r="K46">
        <v>237</v>
      </c>
      <c r="L46">
        <v>181</v>
      </c>
      <c r="M46" s="26">
        <f t="shared" si="0"/>
        <v>1.3749514528685915E-2</v>
      </c>
      <c r="O46" s="2" t="s">
        <v>537</v>
      </c>
    </row>
    <row r="47" spans="1:15" ht="16" customHeight="1" x14ac:dyDescent="0.2">
      <c r="A47" s="1">
        <v>46127</v>
      </c>
      <c r="B47" t="s">
        <v>538</v>
      </c>
      <c r="C47" t="s">
        <v>15</v>
      </c>
      <c r="D47" t="s">
        <v>451</v>
      </c>
      <c r="E47">
        <v>1230428</v>
      </c>
      <c r="F47">
        <v>16049</v>
      </c>
      <c r="G47">
        <v>44092</v>
      </c>
      <c r="H47">
        <v>409</v>
      </c>
      <c r="I47">
        <v>64</v>
      </c>
      <c r="J47">
        <v>664</v>
      </c>
      <c r="K47">
        <v>890</v>
      </c>
      <c r="L47">
        <v>294</v>
      </c>
      <c r="M47" s="26">
        <f t="shared" si="0"/>
        <v>3.5834685166462404E-2</v>
      </c>
      <c r="O47" s="2" t="s">
        <v>539</v>
      </c>
    </row>
    <row r="48" spans="1:15" ht="21" customHeight="1" x14ac:dyDescent="0.2">
      <c r="A48" s="1">
        <v>46134</v>
      </c>
      <c r="B48" t="s">
        <v>540</v>
      </c>
      <c r="C48" t="s">
        <v>15</v>
      </c>
      <c r="D48" t="s">
        <v>440</v>
      </c>
      <c r="E48">
        <v>1218309</v>
      </c>
      <c r="F48">
        <v>10437</v>
      </c>
      <c r="G48">
        <v>30682</v>
      </c>
      <c r="H48">
        <v>2243</v>
      </c>
      <c r="I48">
        <v>245</v>
      </c>
      <c r="J48">
        <v>577</v>
      </c>
      <c r="K48">
        <v>518</v>
      </c>
      <c r="L48">
        <v>396</v>
      </c>
      <c r="M48" s="26">
        <f t="shared" si="0"/>
        <v>2.5184087124038319E-2</v>
      </c>
      <c r="O48" s="2" t="s">
        <v>541</v>
      </c>
    </row>
    <row r="49" spans="1:15" ht="17" customHeight="1" x14ac:dyDescent="0.2">
      <c r="A49" s="1">
        <v>46138</v>
      </c>
      <c r="B49" t="s">
        <v>542</v>
      </c>
      <c r="C49" t="s">
        <v>496</v>
      </c>
      <c r="D49" t="s">
        <v>440</v>
      </c>
      <c r="E49">
        <v>1208148</v>
      </c>
      <c r="F49">
        <v>4127</v>
      </c>
      <c r="G49">
        <v>14324</v>
      </c>
      <c r="H49">
        <v>758</v>
      </c>
      <c r="I49">
        <v>189</v>
      </c>
      <c r="J49">
        <v>390</v>
      </c>
      <c r="K49">
        <v>670</v>
      </c>
      <c r="L49">
        <v>207</v>
      </c>
      <c r="M49" s="26">
        <f t="shared" si="0"/>
        <v>1.1856163317739218E-2</v>
      </c>
      <c r="O49" s="2" t="s">
        <v>543</v>
      </c>
    </row>
    <row r="50" spans="1:15" ht="18" customHeight="1" x14ac:dyDescent="0.2">
      <c r="A50" s="1">
        <v>46132</v>
      </c>
      <c r="B50" s="2" t="s">
        <v>544</v>
      </c>
      <c r="C50" t="s">
        <v>15</v>
      </c>
      <c r="D50" t="s">
        <v>451</v>
      </c>
      <c r="E50">
        <v>1203181</v>
      </c>
      <c r="F50">
        <v>16572</v>
      </c>
      <c r="G50">
        <v>97762</v>
      </c>
      <c r="H50">
        <v>633</v>
      </c>
      <c r="I50">
        <v>92</v>
      </c>
      <c r="J50">
        <v>670</v>
      </c>
      <c r="K50">
        <v>733</v>
      </c>
      <c r="L50">
        <v>604</v>
      </c>
      <c r="M50" s="26">
        <f t="shared" si="0"/>
        <v>8.125294531745432E-2</v>
      </c>
      <c r="O50" s="2" t="s">
        <v>545</v>
      </c>
    </row>
    <row r="51" spans="1:15" ht="16" customHeight="1" x14ac:dyDescent="0.2">
      <c r="A51" s="1">
        <v>46121</v>
      </c>
      <c r="B51" t="s">
        <v>546</v>
      </c>
      <c r="C51" t="s">
        <v>15</v>
      </c>
      <c r="D51" t="s">
        <v>451</v>
      </c>
      <c r="E51">
        <v>1155818</v>
      </c>
      <c r="F51">
        <v>9880</v>
      </c>
      <c r="G51">
        <v>26696</v>
      </c>
      <c r="H51">
        <v>336</v>
      </c>
      <c r="I51">
        <v>89</v>
      </c>
      <c r="J51">
        <v>706</v>
      </c>
      <c r="K51">
        <v>975</v>
      </c>
      <c r="L51">
        <v>171</v>
      </c>
      <c r="M51" s="26">
        <f t="shared" si="0"/>
        <v>2.3097061994189396E-2</v>
      </c>
      <c r="O51" s="2" t="s">
        <v>547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A6AC-DA32-A343-946D-21EC01965336}">
  <dimension ref="A1:AJ49"/>
  <sheetViews>
    <sheetView zoomScale="150" workbookViewId="0">
      <pane xSplit="2" topLeftCell="C1" activePane="topRight" state="frozen"/>
      <selection pane="topRight" activeCell="A2" sqref="A2"/>
    </sheetView>
  </sheetViews>
  <sheetFormatPr baseColWidth="10" defaultRowHeight="16" x14ac:dyDescent="0.2"/>
  <cols>
    <col min="4" max="4" width="13" bestFit="1" customWidth="1"/>
    <col min="5" max="5" width="12.6640625" customWidth="1"/>
    <col min="6" max="6" width="13.6640625" customWidth="1"/>
    <col min="7" max="7" width="15" customWidth="1"/>
    <col min="8" max="8" width="17.83203125" customWidth="1"/>
    <col min="9" max="9" width="13.6640625" customWidth="1"/>
    <col min="10" max="10" width="14.83203125" hidden="1" customWidth="1"/>
    <col min="11" max="12" width="0" hidden="1" customWidth="1"/>
    <col min="13" max="13" width="15.1640625" hidden="1" customWidth="1"/>
    <col min="14" max="14" width="0" hidden="1" customWidth="1"/>
    <col min="15" max="15" width="12.6640625" hidden="1" customWidth="1"/>
    <col min="16" max="19" width="0" hidden="1" customWidth="1"/>
    <col min="20" max="20" width="15.1640625" customWidth="1"/>
    <col min="21" max="21" width="13.83203125" customWidth="1"/>
    <col min="22" max="22" width="14.5" customWidth="1"/>
    <col min="24" max="24" width="13" bestFit="1" customWidth="1"/>
    <col min="25" max="25" width="12.83203125" customWidth="1"/>
    <col min="26" max="26" width="13" bestFit="1" customWidth="1"/>
    <col min="27" max="27" width="13.6640625" customWidth="1"/>
    <col min="28" max="28" width="16.1640625" customWidth="1"/>
    <col min="29" max="29" width="11.6640625" customWidth="1"/>
    <col min="30" max="33" width="16.1640625" customWidth="1"/>
    <col min="34" max="34" width="12.6640625" customWidth="1"/>
    <col min="35" max="35" width="13.6640625" bestFit="1" customWidth="1"/>
    <col min="36" max="36" width="11.6640625" customWidth="1"/>
  </cols>
  <sheetData>
    <row r="1" spans="1:36" x14ac:dyDescent="0.2">
      <c r="A1" t="s">
        <v>548</v>
      </c>
      <c r="B1" t="s">
        <v>1</v>
      </c>
      <c r="C1" t="s">
        <v>579</v>
      </c>
      <c r="D1" t="s">
        <v>549</v>
      </c>
      <c r="E1" t="s">
        <v>578</v>
      </c>
      <c r="F1" t="s">
        <v>551</v>
      </c>
      <c r="G1" t="s">
        <v>552</v>
      </c>
      <c r="H1" t="s">
        <v>553</v>
      </c>
      <c r="I1" t="s">
        <v>554</v>
      </c>
      <c r="J1" t="s">
        <v>576</v>
      </c>
      <c r="T1" t="s">
        <v>577</v>
      </c>
      <c r="U1" t="s">
        <v>1229</v>
      </c>
      <c r="V1" t="s">
        <v>550</v>
      </c>
      <c r="W1" t="s">
        <v>555</v>
      </c>
      <c r="X1" t="s">
        <v>556</v>
      </c>
      <c r="Y1" t="s">
        <v>557</v>
      </c>
      <c r="Z1" t="s">
        <v>558</v>
      </c>
      <c r="AA1" t="s">
        <v>559</v>
      </c>
      <c r="AB1" t="s">
        <v>560</v>
      </c>
      <c r="AC1" t="s">
        <v>580</v>
      </c>
      <c r="AD1" t="s">
        <v>582</v>
      </c>
      <c r="AE1" t="s">
        <v>581</v>
      </c>
      <c r="AF1" t="s">
        <v>583</v>
      </c>
      <c r="AG1" t="s">
        <v>584</v>
      </c>
      <c r="AH1" t="s">
        <v>561</v>
      </c>
      <c r="AI1" t="s">
        <v>562</v>
      </c>
      <c r="AJ1" t="s">
        <v>563</v>
      </c>
    </row>
    <row r="2" spans="1:36" x14ac:dyDescent="0.2">
      <c r="A2" s="17" t="s">
        <v>564</v>
      </c>
      <c r="B2">
        <v>2023</v>
      </c>
      <c r="C2" s="18">
        <v>5401.3</v>
      </c>
      <c r="D2" s="20">
        <f t="shared" ref="D2:D41" si="0">C2*AA2</f>
        <v>2428154.415</v>
      </c>
      <c r="E2" s="18">
        <v>0</v>
      </c>
      <c r="F2" s="18">
        <v>1030130</v>
      </c>
      <c r="G2" s="18">
        <v>8902391</v>
      </c>
      <c r="H2" s="18">
        <v>300000</v>
      </c>
      <c r="I2" s="18">
        <v>0</v>
      </c>
      <c r="J2" s="18"/>
      <c r="K2" s="18"/>
      <c r="L2" s="18"/>
      <c r="M2" s="18"/>
      <c r="N2" s="18"/>
      <c r="O2" s="18"/>
      <c r="P2" s="18"/>
      <c r="Q2" s="18"/>
      <c r="R2" s="18"/>
      <c r="S2" s="18"/>
      <c r="T2" s="18">
        <v>0</v>
      </c>
      <c r="U2" s="18">
        <v>800500</v>
      </c>
      <c r="V2" s="18">
        <v>120000</v>
      </c>
      <c r="W2" s="3">
        <v>690000</v>
      </c>
      <c r="X2" s="18">
        <v>2945000</v>
      </c>
      <c r="Y2" s="18">
        <v>150000</v>
      </c>
      <c r="Z2" s="18">
        <v>0</v>
      </c>
      <c r="AA2" s="19">
        <v>449.55</v>
      </c>
      <c r="AB2" s="20">
        <f t="shared" ref="AB2:AB41" si="1">SUM(C2:V2)</f>
        <v>13586576.715</v>
      </c>
      <c r="AC2" s="20">
        <v>233333.33332999999</v>
      </c>
      <c r="AD2" s="20">
        <v>350200</v>
      </c>
      <c r="AE2" s="20">
        <v>150000</v>
      </c>
      <c r="AF2" s="20">
        <v>132000</v>
      </c>
      <c r="AG2" s="20">
        <v>180000</v>
      </c>
      <c r="AH2" s="3">
        <f>W2+X2+Y2+Z2+AC2+AD2+AE2+AF2+AG2</f>
        <v>4830533.3333299998</v>
      </c>
      <c r="AI2" s="20">
        <f>AB2-AH2</f>
        <v>8756043.38167</v>
      </c>
      <c r="AJ2" s="5">
        <f>(AI2/AB2)*100</f>
        <v>64.446280805988891</v>
      </c>
    </row>
    <row r="3" spans="1:36" x14ac:dyDescent="0.2">
      <c r="A3" s="17" t="s">
        <v>565</v>
      </c>
      <c r="B3">
        <v>2023</v>
      </c>
      <c r="C3" s="18">
        <v>5301.2</v>
      </c>
      <c r="D3" s="20">
        <f t="shared" si="0"/>
        <v>2438233.9279999998</v>
      </c>
      <c r="E3" s="18">
        <v>0</v>
      </c>
      <c r="F3" s="18">
        <v>875000</v>
      </c>
      <c r="G3" s="18">
        <v>9010302</v>
      </c>
      <c r="H3" s="18">
        <v>280000</v>
      </c>
      <c r="I3" s="18">
        <v>0</v>
      </c>
      <c r="J3" s="18"/>
      <c r="K3" s="18"/>
      <c r="L3" s="18"/>
      <c r="M3" s="18"/>
      <c r="N3" s="18"/>
      <c r="O3" s="18"/>
      <c r="P3" s="18"/>
      <c r="Q3" s="18"/>
      <c r="R3" s="18"/>
      <c r="S3" s="18"/>
      <c r="T3" s="18">
        <v>500000</v>
      </c>
      <c r="U3" s="18">
        <v>250000</v>
      </c>
      <c r="V3" s="18">
        <v>105000</v>
      </c>
      <c r="W3" s="3">
        <v>690000</v>
      </c>
      <c r="X3" s="18">
        <v>2945000</v>
      </c>
      <c r="Y3" s="18">
        <v>150000</v>
      </c>
      <c r="Z3" s="18">
        <v>0</v>
      </c>
      <c r="AA3" s="5">
        <v>459.94</v>
      </c>
      <c r="AB3" s="20">
        <f t="shared" si="1"/>
        <v>13463837.128</v>
      </c>
      <c r="AC3" s="20">
        <v>233333.33332999999</v>
      </c>
      <c r="AD3" s="20">
        <v>350200</v>
      </c>
      <c r="AE3" s="20">
        <v>150000</v>
      </c>
      <c r="AF3" s="20">
        <v>132000</v>
      </c>
      <c r="AG3" s="20">
        <v>195000</v>
      </c>
      <c r="AH3" s="3">
        <f t="shared" ref="AH3:AH41" si="2">W3+X3+Y3+Z3+AC3+AD3+AE3+AF3+AG3</f>
        <v>4845533.3333299998</v>
      </c>
      <c r="AI3" s="20">
        <f t="shared" ref="AI3:AI41" si="3">AB3-AH3</f>
        <v>8618303.7946700007</v>
      </c>
      <c r="AJ3" s="5">
        <f t="shared" ref="AJ3:AJ41" si="4">(AI3/AB3)*100</f>
        <v>64.010754978214862</v>
      </c>
    </row>
    <row r="4" spans="1:36" x14ac:dyDescent="0.2">
      <c r="A4" s="17" t="s">
        <v>566</v>
      </c>
      <c r="B4">
        <v>2023</v>
      </c>
      <c r="C4" s="18">
        <v>4510.3999999999996</v>
      </c>
      <c r="D4" s="20">
        <f t="shared" si="0"/>
        <v>2074693.7919999999</v>
      </c>
      <c r="E4" s="18">
        <v>0</v>
      </c>
      <c r="F4" s="18">
        <v>670000</v>
      </c>
      <c r="G4" s="18">
        <v>12090103</v>
      </c>
      <c r="H4" s="18">
        <v>360000</v>
      </c>
      <c r="I4" s="18">
        <v>0</v>
      </c>
      <c r="J4" s="18"/>
      <c r="K4" s="18"/>
      <c r="L4" s="18"/>
      <c r="M4" s="18"/>
      <c r="N4" s="18"/>
      <c r="O4" s="18"/>
      <c r="P4" s="18"/>
      <c r="Q4" s="18"/>
      <c r="R4" s="18"/>
      <c r="S4" s="18"/>
      <c r="T4" s="18">
        <v>0</v>
      </c>
      <c r="U4" s="18">
        <v>350000</v>
      </c>
      <c r="V4" s="18">
        <v>200000</v>
      </c>
      <c r="W4" s="3">
        <v>690000</v>
      </c>
      <c r="X4" s="18">
        <v>2945000</v>
      </c>
      <c r="Y4" s="18">
        <v>150000</v>
      </c>
      <c r="Z4" s="18">
        <v>0</v>
      </c>
      <c r="AA4" s="5">
        <v>459.98</v>
      </c>
      <c r="AB4" s="20">
        <f t="shared" si="1"/>
        <v>15749307.192</v>
      </c>
      <c r="AC4" s="20">
        <v>233333.33332999999</v>
      </c>
      <c r="AD4" s="20">
        <v>350200</v>
      </c>
      <c r="AE4" s="20">
        <v>150000</v>
      </c>
      <c r="AF4" s="20">
        <v>132000</v>
      </c>
      <c r="AG4" s="20">
        <v>215000</v>
      </c>
      <c r="AH4" s="3">
        <f t="shared" si="2"/>
        <v>4865533.3333299998</v>
      </c>
      <c r="AI4" s="20">
        <f t="shared" si="3"/>
        <v>10883773.85867</v>
      </c>
      <c r="AJ4" s="5">
        <f t="shared" si="4"/>
        <v>69.106365924454821</v>
      </c>
    </row>
    <row r="5" spans="1:36" x14ac:dyDescent="0.2">
      <c r="A5" s="17" t="s">
        <v>567</v>
      </c>
      <c r="B5">
        <v>2023</v>
      </c>
      <c r="C5" s="18">
        <v>4511.3999999999996</v>
      </c>
      <c r="D5" s="20">
        <f t="shared" si="0"/>
        <v>2079755.4</v>
      </c>
      <c r="E5" s="18">
        <v>0</v>
      </c>
      <c r="F5" s="18">
        <v>650000</v>
      </c>
      <c r="G5" s="18">
        <v>18100200</v>
      </c>
      <c r="H5" s="18">
        <v>240000</v>
      </c>
      <c r="I5" s="18">
        <v>0</v>
      </c>
      <c r="J5" s="18"/>
      <c r="K5" s="18"/>
      <c r="L5" s="18"/>
      <c r="M5" s="18"/>
      <c r="N5" s="18"/>
      <c r="O5" s="18"/>
      <c r="P5" s="18"/>
      <c r="Q5" s="18"/>
      <c r="R5" s="18"/>
      <c r="S5" s="18"/>
      <c r="T5" s="18">
        <v>0</v>
      </c>
      <c r="U5" s="18">
        <v>120000</v>
      </c>
      <c r="V5" s="18">
        <v>150000</v>
      </c>
      <c r="W5" s="3">
        <v>690000</v>
      </c>
      <c r="X5" s="18">
        <v>2945000</v>
      </c>
      <c r="Y5" s="18">
        <v>150000</v>
      </c>
      <c r="Z5" s="18">
        <v>0</v>
      </c>
      <c r="AA5" s="5">
        <v>461</v>
      </c>
      <c r="AB5" s="20">
        <f t="shared" si="1"/>
        <v>21344466.800000001</v>
      </c>
      <c r="AC5" s="20">
        <v>233333.33332999999</v>
      </c>
      <c r="AD5" s="20">
        <v>350200</v>
      </c>
      <c r="AE5" s="20">
        <v>150000</v>
      </c>
      <c r="AF5" s="20">
        <v>132000</v>
      </c>
      <c r="AG5" s="20">
        <v>200100</v>
      </c>
      <c r="AH5" s="3">
        <f t="shared" si="2"/>
        <v>4850633.3333299998</v>
      </c>
      <c r="AI5" s="20">
        <f t="shared" si="3"/>
        <v>16493833.466670001</v>
      </c>
      <c r="AJ5" s="5">
        <f t="shared" si="4"/>
        <v>77.274516253879909</v>
      </c>
    </row>
    <row r="6" spans="1:36" x14ac:dyDescent="0.2">
      <c r="A6" s="17" t="s">
        <v>568</v>
      </c>
      <c r="B6">
        <v>2023</v>
      </c>
      <c r="C6" s="18">
        <v>2100.11</v>
      </c>
      <c r="D6" s="20">
        <f t="shared" si="0"/>
        <v>968150.71000000008</v>
      </c>
      <c r="E6" s="18">
        <f>U6+V6</f>
        <v>1880000</v>
      </c>
      <c r="F6" s="18">
        <v>750000</v>
      </c>
      <c r="G6" s="18">
        <v>23616000</v>
      </c>
      <c r="H6" s="18">
        <v>750000</v>
      </c>
      <c r="I6" s="18">
        <v>0</v>
      </c>
      <c r="J6" s="18">
        <v>0</v>
      </c>
      <c r="K6" s="18">
        <v>0</v>
      </c>
      <c r="L6" s="18">
        <v>0</v>
      </c>
      <c r="M6" s="18">
        <v>0</v>
      </c>
      <c r="N6" s="18"/>
      <c r="O6" s="18">
        <v>700000</v>
      </c>
      <c r="P6" s="18">
        <v>0</v>
      </c>
      <c r="Q6" s="18">
        <v>0</v>
      </c>
      <c r="R6" s="18">
        <v>0</v>
      </c>
      <c r="S6" s="18">
        <v>0</v>
      </c>
      <c r="T6" s="18">
        <f>SUM(J6:S6)</f>
        <v>700000</v>
      </c>
      <c r="U6" s="18">
        <v>1880000</v>
      </c>
      <c r="V6" s="18">
        <v>0</v>
      </c>
      <c r="W6" s="3">
        <v>690000</v>
      </c>
      <c r="X6" s="18">
        <v>2945000</v>
      </c>
      <c r="Y6" s="18">
        <v>150000</v>
      </c>
      <c r="Z6" s="18">
        <v>0</v>
      </c>
      <c r="AA6" s="5">
        <v>461</v>
      </c>
      <c r="AB6" s="20">
        <f t="shared" si="1"/>
        <v>31246250.82</v>
      </c>
      <c r="AC6" s="20">
        <v>233333.33332999999</v>
      </c>
      <c r="AD6" s="20">
        <v>350200</v>
      </c>
      <c r="AE6" s="20">
        <v>150000</v>
      </c>
      <c r="AF6" s="20">
        <v>132000</v>
      </c>
      <c r="AG6" s="20">
        <v>520000</v>
      </c>
      <c r="AH6" s="3">
        <f t="shared" si="2"/>
        <v>5170533.3333299998</v>
      </c>
      <c r="AI6" s="20">
        <f t="shared" si="3"/>
        <v>26075717.486670002</v>
      </c>
      <c r="AJ6" s="5">
        <f t="shared" si="4"/>
        <v>83.452308044520791</v>
      </c>
    </row>
    <row r="7" spans="1:36" x14ac:dyDescent="0.2">
      <c r="A7" s="17" t="s">
        <v>569</v>
      </c>
      <c r="B7">
        <v>2023</v>
      </c>
      <c r="C7" s="18">
        <v>3100.32</v>
      </c>
      <c r="D7" s="20">
        <f t="shared" si="0"/>
        <v>1890823.1616</v>
      </c>
      <c r="E7" s="18">
        <f>U7+V7</f>
        <v>480000</v>
      </c>
      <c r="F7" s="18">
        <v>1005000</v>
      </c>
      <c r="G7" s="18">
        <v>21595200</v>
      </c>
      <c r="H7" s="18">
        <v>1005000</v>
      </c>
      <c r="I7" s="18">
        <v>0</v>
      </c>
      <c r="J7" s="18">
        <v>0</v>
      </c>
      <c r="K7" s="18">
        <v>0</v>
      </c>
      <c r="L7" s="18">
        <v>0</v>
      </c>
      <c r="M7" s="18">
        <v>0</v>
      </c>
      <c r="N7" s="18"/>
      <c r="O7" s="18">
        <v>0</v>
      </c>
      <c r="P7" s="18">
        <v>0</v>
      </c>
      <c r="Q7" s="18">
        <v>0</v>
      </c>
      <c r="R7" s="18">
        <v>0</v>
      </c>
      <c r="S7" s="18">
        <v>0</v>
      </c>
      <c r="T7" s="18">
        <f t="shared" ref="T7:T41" si="5">SUM(J7:S7)</f>
        <v>0</v>
      </c>
      <c r="U7" s="18">
        <v>90000</v>
      </c>
      <c r="V7" s="18">
        <v>390000</v>
      </c>
      <c r="W7" s="3">
        <v>690000</v>
      </c>
      <c r="X7" s="18">
        <v>2945000</v>
      </c>
      <c r="Y7" s="18">
        <v>150000</v>
      </c>
      <c r="Z7" s="18">
        <v>0</v>
      </c>
      <c r="AA7" s="5">
        <v>609.88</v>
      </c>
      <c r="AB7" s="20">
        <f t="shared" si="1"/>
        <v>26459123.481600001</v>
      </c>
      <c r="AC7" s="20">
        <v>233333.33332999999</v>
      </c>
      <c r="AD7" s="20">
        <v>350200</v>
      </c>
      <c r="AE7" s="20">
        <v>150000</v>
      </c>
      <c r="AF7" s="20">
        <v>132000</v>
      </c>
      <c r="AG7" s="20">
        <v>150000</v>
      </c>
      <c r="AH7" s="3">
        <f t="shared" si="2"/>
        <v>4800533.3333299998</v>
      </c>
      <c r="AI7" s="20">
        <f t="shared" si="3"/>
        <v>21658590.148270003</v>
      </c>
      <c r="AJ7" s="5">
        <f t="shared" si="4"/>
        <v>81.856793794895182</v>
      </c>
    </row>
    <row r="8" spans="1:36" x14ac:dyDescent="0.2">
      <c r="A8" s="17" t="s">
        <v>570</v>
      </c>
      <c r="B8">
        <v>2023</v>
      </c>
      <c r="C8" s="18">
        <v>2000.32</v>
      </c>
      <c r="D8" s="20">
        <f t="shared" si="0"/>
        <v>1552248.32</v>
      </c>
      <c r="E8" s="18">
        <f t="shared" ref="E8:E41" si="6">U8+V8</f>
        <v>130000</v>
      </c>
      <c r="F8" s="18">
        <v>1504263.16</v>
      </c>
      <c r="G8" s="18">
        <v>22188884.210000001</v>
      </c>
      <c r="H8" s="18">
        <v>1504263.16</v>
      </c>
      <c r="I8" s="18">
        <v>0</v>
      </c>
      <c r="J8" s="18">
        <v>0</v>
      </c>
      <c r="K8" s="18">
        <v>60000</v>
      </c>
      <c r="L8" s="18">
        <v>0</v>
      </c>
      <c r="M8" s="18">
        <v>0</v>
      </c>
      <c r="N8" s="18"/>
      <c r="O8" s="18">
        <v>0</v>
      </c>
      <c r="P8" s="18">
        <v>0</v>
      </c>
      <c r="Q8" s="18">
        <v>321052.63</v>
      </c>
      <c r="R8" s="18">
        <v>0</v>
      </c>
      <c r="S8" s="18">
        <v>0</v>
      </c>
      <c r="T8" s="18">
        <f t="shared" si="5"/>
        <v>381052.63</v>
      </c>
      <c r="U8" s="18">
        <v>0</v>
      </c>
      <c r="V8" s="18">
        <v>130000</v>
      </c>
      <c r="W8" s="3">
        <v>690000</v>
      </c>
      <c r="X8" s="18">
        <v>2945000</v>
      </c>
      <c r="Y8" s="18">
        <v>150000</v>
      </c>
      <c r="Z8" s="18">
        <v>0</v>
      </c>
      <c r="AA8" s="5">
        <v>776</v>
      </c>
      <c r="AB8" s="20">
        <f t="shared" si="1"/>
        <v>27773764.43</v>
      </c>
      <c r="AC8" s="20">
        <v>233333.33332999999</v>
      </c>
      <c r="AD8" s="20">
        <v>450000</v>
      </c>
      <c r="AE8" s="20">
        <v>150000</v>
      </c>
      <c r="AF8" s="20">
        <v>132000</v>
      </c>
      <c r="AG8" s="20">
        <v>100000</v>
      </c>
      <c r="AH8" s="3">
        <f t="shared" si="2"/>
        <v>4850333.3333299998</v>
      </c>
      <c r="AI8" s="20">
        <f t="shared" si="3"/>
        <v>22923431.096670002</v>
      </c>
      <c r="AJ8" s="5">
        <f t="shared" si="4"/>
        <v>82.536276832207591</v>
      </c>
    </row>
    <row r="9" spans="1:36" x14ac:dyDescent="0.2">
      <c r="A9" s="17" t="s">
        <v>571</v>
      </c>
      <c r="B9">
        <v>2023</v>
      </c>
      <c r="C9" s="18">
        <v>1250.32</v>
      </c>
      <c r="D9" s="20">
        <f t="shared" si="0"/>
        <v>958995.44</v>
      </c>
      <c r="E9" s="18">
        <f t="shared" si="6"/>
        <v>400000</v>
      </c>
      <c r="F9" s="18">
        <v>1323000</v>
      </c>
      <c r="G9" s="18">
        <v>19999200</v>
      </c>
      <c r="H9" s="18">
        <v>1323000</v>
      </c>
      <c r="I9" s="18">
        <v>4268108.5199999996</v>
      </c>
      <c r="J9" s="18">
        <v>0</v>
      </c>
      <c r="K9" s="18">
        <v>114000</v>
      </c>
      <c r="L9" s="18">
        <v>0</v>
      </c>
      <c r="M9" s="18">
        <v>75250</v>
      </c>
      <c r="N9" s="18"/>
      <c r="O9" s="18">
        <v>850000</v>
      </c>
      <c r="P9" s="18">
        <v>0</v>
      </c>
      <c r="Q9" s="18">
        <v>0</v>
      </c>
      <c r="R9" s="18">
        <v>0</v>
      </c>
      <c r="S9" s="18">
        <v>0</v>
      </c>
      <c r="T9" s="18">
        <f t="shared" si="5"/>
        <v>1039250</v>
      </c>
      <c r="U9" s="18">
        <v>270000</v>
      </c>
      <c r="V9" s="18">
        <v>130000</v>
      </c>
      <c r="W9" s="3">
        <v>690000</v>
      </c>
      <c r="X9" s="18">
        <v>2945000</v>
      </c>
      <c r="Y9" s="18">
        <v>150000</v>
      </c>
      <c r="Z9" s="18">
        <v>0</v>
      </c>
      <c r="AA9" s="5">
        <v>767</v>
      </c>
      <c r="AB9" s="20">
        <f t="shared" si="1"/>
        <v>30752054.279999997</v>
      </c>
      <c r="AC9" s="20">
        <v>233333.33332999999</v>
      </c>
      <c r="AD9" s="20">
        <v>450000</v>
      </c>
      <c r="AE9" s="20">
        <v>150000</v>
      </c>
      <c r="AF9" s="20">
        <v>132000</v>
      </c>
      <c r="AG9" s="20">
        <v>0</v>
      </c>
      <c r="AH9" s="3">
        <f t="shared" si="2"/>
        <v>4750333.3333299998</v>
      </c>
      <c r="AI9" s="20">
        <f t="shared" si="3"/>
        <v>26001720.946669996</v>
      </c>
      <c r="AJ9" s="5">
        <f t="shared" si="4"/>
        <v>84.552793481444127</v>
      </c>
    </row>
    <row r="10" spans="1:36" x14ac:dyDescent="0.2">
      <c r="A10" s="17" t="s">
        <v>572</v>
      </c>
      <c r="B10">
        <v>2023</v>
      </c>
      <c r="C10" s="18">
        <v>3100.44</v>
      </c>
      <c r="D10" s="20">
        <f t="shared" si="0"/>
        <v>2440046.2800000003</v>
      </c>
      <c r="E10" s="18">
        <f t="shared" si="6"/>
        <v>0</v>
      </c>
      <c r="F10" s="18">
        <v>150000</v>
      </c>
      <c r="G10" s="18">
        <v>19092800</v>
      </c>
      <c r="H10" s="18">
        <v>150000</v>
      </c>
      <c r="I10" s="18">
        <v>2276683.8199999998</v>
      </c>
      <c r="J10" s="18">
        <v>168560</v>
      </c>
      <c r="K10" s="18">
        <v>0</v>
      </c>
      <c r="L10" s="18">
        <v>0</v>
      </c>
      <c r="M10" s="18">
        <v>72240</v>
      </c>
      <c r="N10" s="18"/>
      <c r="O10" s="18">
        <v>744186.05</v>
      </c>
      <c r="P10" s="18">
        <v>0</v>
      </c>
      <c r="Q10" s="18">
        <v>500000</v>
      </c>
      <c r="R10" s="18">
        <v>0</v>
      </c>
      <c r="S10" s="18">
        <v>0</v>
      </c>
      <c r="T10" s="18">
        <f t="shared" si="5"/>
        <v>1484986.05</v>
      </c>
      <c r="U10" s="18">
        <v>0</v>
      </c>
      <c r="V10" s="18">
        <v>0</v>
      </c>
      <c r="W10" s="3">
        <v>690000</v>
      </c>
      <c r="X10" s="18">
        <v>2945000</v>
      </c>
      <c r="Y10" s="18">
        <v>150000</v>
      </c>
      <c r="Z10" s="18">
        <v>0</v>
      </c>
      <c r="AA10" s="5">
        <v>787</v>
      </c>
      <c r="AB10" s="20">
        <f t="shared" si="1"/>
        <v>27082602.640000001</v>
      </c>
      <c r="AC10" s="20">
        <v>233333.33332999999</v>
      </c>
      <c r="AD10" s="20">
        <v>550000</v>
      </c>
      <c r="AE10" s="20">
        <v>150000</v>
      </c>
      <c r="AF10" s="20">
        <v>132000</v>
      </c>
      <c r="AG10" s="20">
        <v>0</v>
      </c>
      <c r="AH10" s="3">
        <f t="shared" si="2"/>
        <v>4850333.3333299998</v>
      </c>
      <c r="AI10" s="20">
        <f t="shared" si="3"/>
        <v>22232269.306670003</v>
      </c>
      <c r="AJ10" s="5">
        <f t="shared" si="4"/>
        <v>82.090593737227323</v>
      </c>
    </row>
    <row r="11" spans="1:36" x14ac:dyDescent="0.2">
      <c r="A11" s="17" t="s">
        <v>573</v>
      </c>
      <c r="B11">
        <v>2023</v>
      </c>
      <c r="C11" s="18">
        <v>3000.01</v>
      </c>
      <c r="D11" s="20">
        <f t="shared" si="0"/>
        <v>2341507.8050000002</v>
      </c>
      <c r="E11" s="18">
        <f t="shared" si="6"/>
        <v>130000</v>
      </c>
      <c r="F11" s="18">
        <v>294000</v>
      </c>
      <c r="G11" s="18">
        <v>32296800</v>
      </c>
      <c r="H11" s="18">
        <v>294000</v>
      </c>
      <c r="I11" s="18">
        <v>1531348.7</v>
      </c>
      <c r="J11" s="18">
        <v>0</v>
      </c>
      <c r="K11" s="18">
        <v>0</v>
      </c>
      <c r="L11" s="18">
        <v>0</v>
      </c>
      <c r="M11" s="18">
        <v>0</v>
      </c>
      <c r="N11" s="18"/>
      <c r="O11" s="18">
        <v>500000</v>
      </c>
      <c r="P11" s="18">
        <v>0</v>
      </c>
      <c r="Q11" s="18">
        <v>500000</v>
      </c>
      <c r="R11" s="18">
        <v>0</v>
      </c>
      <c r="S11" s="18">
        <v>0</v>
      </c>
      <c r="T11" s="18">
        <f t="shared" si="5"/>
        <v>1000000</v>
      </c>
      <c r="U11" s="18">
        <v>0</v>
      </c>
      <c r="V11" s="18">
        <v>130000</v>
      </c>
      <c r="W11" s="3">
        <v>690000</v>
      </c>
      <c r="X11" s="18">
        <v>2945000</v>
      </c>
      <c r="Y11" s="18">
        <v>150000</v>
      </c>
      <c r="Z11" s="18">
        <v>0</v>
      </c>
      <c r="AA11" s="5">
        <v>780.5</v>
      </c>
      <c r="AB11" s="20">
        <f t="shared" si="1"/>
        <v>39020656.515000001</v>
      </c>
      <c r="AC11" s="20">
        <v>233333.33332999999</v>
      </c>
      <c r="AD11" s="20">
        <v>350000</v>
      </c>
      <c r="AE11" s="20">
        <v>150000</v>
      </c>
      <c r="AF11" s="20">
        <v>132000</v>
      </c>
      <c r="AG11" s="20">
        <v>125000</v>
      </c>
      <c r="AH11" s="3">
        <f t="shared" si="2"/>
        <v>4775333.3333299998</v>
      </c>
      <c r="AI11" s="20">
        <f t="shared" si="3"/>
        <v>34245323.181670003</v>
      </c>
      <c r="AJ11" s="5">
        <f t="shared" si="4"/>
        <v>87.762037444207778</v>
      </c>
    </row>
    <row r="12" spans="1:36" x14ac:dyDescent="0.2">
      <c r="A12" s="17" t="s">
        <v>574</v>
      </c>
      <c r="B12">
        <v>2023</v>
      </c>
      <c r="C12" s="18">
        <v>1500.3</v>
      </c>
      <c r="D12" s="20">
        <f t="shared" si="0"/>
        <v>1204740.8999999999</v>
      </c>
      <c r="E12" s="18">
        <f t="shared" si="6"/>
        <v>260000</v>
      </c>
      <c r="F12" s="18">
        <v>588000</v>
      </c>
      <c r="G12" s="18">
        <v>30537600</v>
      </c>
      <c r="H12" s="18">
        <v>588000</v>
      </c>
      <c r="I12" s="18">
        <f>498732.83+921124.43</f>
        <v>1419857.26</v>
      </c>
      <c r="J12" s="18">
        <v>0</v>
      </c>
      <c r="K12" s="18">
        <v>80000</v>
      </c>
      <c r="L12" s="18">
        <v>0</v>
      </c>
      <c r="M12" s="18">
        <v>72240</v>
      </c>
      <c r="N12" s="18"/>
      <c r="O12" s="18">
        <v>0</v>
      </c>
      <c r="P12" s="18">
        <v>0</v>
      </c>
      <c r="Q12" s="18">
        <v>0</v>
      </c>
      <c r="R12" s="18">
        <v>0</v>
      </c>
      <c r="S12" s="18">
        <v>0</v>
      </c>
      <c r="T12" s="18">
        <f t="shared" si="5"/>
        <v>152240</v>
      </c>
      <c r="U12" s="18">
        <v>0</v>
      </c>
      <c r="V12" s="18">
        <v>260000</v>
      </c>
      <c r="W12" s="3">
        <v>690000</v>
      </c>
      <c r="X12" s="18">
        <v>2945000</v>
      </c>
      <c r="Y12" s="18">
        <v>220000</v>
      </c>
      <c r="Z12" s="18">
        <v>0</v>
      </c>
      <c r="AA12" s="5">
        <v>803</v>
      </c>
      <c r="AB12" s="20">
        <f t="shared" si="1"/>
        <v>35164178.460000001</v>
      </c>
      <c r="AC12" s="20">
        <v>233333.33332999999</v>
      </c>
      <c r="AD12" s="20">
        <v>300000</v>
      </c>
      <c r="AE12" s="20">
        <v>150000</v>
      </c>
      <c r="AF12" s="20">
        <v>132000</v>
      </c>
      <c r="AG12" s="20">
        <v>225000</v>
      </c>
      <c r="AH12" s="3">
        <f t="shared" si="2"/>
        <v>4895333.3333299998</v>
      </c>
      <c r="AI12" s="20">
        <f t="shared" si="3"/>
        <v>30268845.126670003</v>
      </c>
      <c r="AJ12" s="5">
        <f t="shared" si="4"/>
        <v>86.078635851258284</v>
      </c>
    </row>
    <row r="13" spans="1:36" x14ac:dyDescent="0.2">
      <c r="A13" s="17" t="s">
        <v>575</v>
      </c>
      <c r="B13">
        <v>2023</v>
      </c>
      <c r="C13" s="18">
        <v>2500.33</v>
      </c>
      <c r="D13" s="20">
        <f t="shared" si="0"/>
        <v>2060146.9035</v>
      </c>
      <c r="E13" s="18">
        <f t="shared" si="6"/>
        <v>0</v>
      </c>
      <c r="F13" s="18">
        <v>1035000</v>
      </c>
      <c r="G13" s="18">
        <v>21642800</v>
      </c>
      <c r="H13" s="18">
        <v>1035000</v>
      </c>
      <c r="I13" s="18">
        <v>0</v>
      </c>
      <c r="J13" s="18">
        <v>0</v>
      </c>
      <c r="K13" s="18">
        <v>0</v>
      </c>
      <c r="L13" s="18">
        <v>0</v>
      </c>
      <c r="M13" s="18">
        <v>150500</v>
      </c>
      <c r="N13" s="18"/>
      <c r="O13" s="18">
        <v>744186.05</v>
      </c>
      <c r="P13" s="18">
        <v>0</v>
      </c>
      <c r="Q13" s="18">
        <v>0</v>
      </c>
      <c r="R13" s="18">
        <v>0</v>
      </c>
      <c r="S13" s="18">
        <v>0</v>
      </c>
      <c r="T13" s="18">
        <f t="shared" si="5"/>
        <v>894686.05</v>
      </c>
      <c r="U13" s="18">
        <v>0</v>
      </c>
      <c r="V13" s="18">
        <v>0</v>
      </c>
      <c r="W13" s="3">
        <v>690000</v>
      </c>
      <c r="X13" s="18">
        <v>2945000</v>
      </c>
      <c r="Y13" s="18">
        <v>220000</v>
      </c>
      <c r="Z13" s="18">
        <v>0</v>
      </c>
      <c r="AA13" s="5">
        <v>823.95</v>
      </c>
      <c r="AB13" s="20">
        <f t="shared" si="1"/>
        <v>27564819.333500002</v>
      </c>
      <c r="AC13" s="20">
        <v>233333.33332999999</v>
      </c>
      <c r="AD13" s="20">
        <v>400000</v>
      </c>
      <c r="AE13" s="20">
        <v>200000</v>
      </c>
      <c r="AF13" s="20">
        <v>132000</v>
      </c>
      <c r="AG13" s="20">
        <v>445000</v>
      </c>
      <c r="AH13" s="3">
        <f t="shared" si="2"/>
        <v>5265333.3333299998</v>
      </c>
      <c r="AI13" s="20">
        <f t="shared" si="3"/>
        <v>22299486.00017</v>
      </c>
      <c r="AJ13" s="5">
        <f t="shared" si="4"/>
        <v>80.898357179033084</v>
      </c>
    </row>
    <row r="14" spans="1:36" x14ac:dyDescent="0.2">
      <c r="A14" s="17" t="s">
        <v>564</v>
      </c>
      <c r="B14">
        <v>2024</v>
      </c>
      <c r="C14" s="18">
        <v>1002.32</v>
      </c>
      <c r="D14" s="20">
        <f t="shared" si="0"/>
        <v>959230.26320000004</v>
      </c>
      <c r="E14" s="18">
        <f>U14+V14</f>
        <v>3299680.58</v>
      </c>
      <c r="F14" s="18">
        <v>1386229.52</v>
      </c>
      <c r="G14" s="18">
        <v>24808922.449999999</v>
      </c>
      <c r="H14" s="18">
        <v>1386229.52</v>
      </c>
      <c r="I14" s="18">
        <f>3414841.2+669381.52</f>
        <v>4084222.72</v>
      </c>
      <c r="J14" s="18">
        <v>0</v>
      </c>
      <c r="K14" s="18">
        <v>152000</v>
      </c>
      <c r="L14" s="18">
        <v>0</v>
      </c>
      <c r="M14" s="18">
        <v>101587.5</v>
      </c>
      <c r="N14" s="18"/>
      <c r="O14" s="18">
        <v>0</v>
      </c>
      <c r="P14" s="18">
        <v>0</v>
      </c>
      <c r="Q14" s="18">
        <v>0</v>
      </c>
      <c r="R14" s="18">
        <v>0</v>
      </c>
      <c r="S14" s="18">
        <v>0</v>
      </c>
      <c r="T14" s="18">
        <f>SUM(J14:S14)</f>
        <v>253587.5</v>
      </c>
      <c r="U14" s="18">
        <v>90000</v>
      </c>
      <c r="V14" s="18">
        <v>3209680.58</v>
      </c>
      <c r="W14" s="3">
        <v>690000</v>
      </c>
      <c r="X14" s="18">
        <v>3120000</v>
      </c>
      <c r="Y14" s="18">
        <v>220000</v>
      </c>
      <c r="Z14" s="18">
        <v>3450000</v>
      </c>
      <c r="AA14" s="5">
        <v>957.01</v>
      </c>
      <c r="AB14" s="20">
        <f t="shared" si="1"/>
        <v>39732372.953199998</v>
      </c>
      <c r="AC14" s="20">
        <v>233333.33332999999</v>
      </c>
      <c r="AD14" s="20">
        <v>150000</v>
      </c>
      <c r="AE14" s="20">
        <v>200000</v>
      </c>
      <c r="AF14" s="20">
        <v>132000</v>
      </c>
      <c r="AG14" s="20">
        <v>245678</v>
      </c>
      <c r="AH14" s="3">
        <f t="shared" si="2"/>
        <v>8441011.3333299998</v>
      </c>
      <c r="AI14" s="20">
        <f t="shared" si="3"/>
        <v>31291361.61987</v>
      </c>
      <c r="AJ14" s="5">
        <f t="shared" si="4"/>
        <v>78.755330462460662</v>
      </c>
    </row>
    <row r="15" spans="1:36" x14ac:dyDescent="0.2">
      <c r="A15" s="17" t="s">
        <v>565</v>
      </c>
      <c r="B15">
        <v>2024</v>
      </c>
      <c r="C15" s="18">
        <v>950.1</v>
      </c>
      <c r="D15" s="20">
        <f t="shared" si="0"/>
        <v>1132519.2</v>
      </c>
      <c r="E15" s="18">
        <f t="shared" si="6"/>
        <v>150000</v>
      </c>
      <c r="F15" s="18">
        <v>947200</v>
      </c>
      <c r="G15" s="18">
        <v>30386000</v>
      </c>
      <c r="H15" s="18">
        <v>947200</v>
      </c>
      <c r="I15" s="18">
        <f>880108.91+100487.12</f>
        <v>980596.03</v>
      </c>
      <c r="J15" s="18">
        <v>0</v>
      </c>
      <c r="K15" s="18">
        <v>0</v>
      </c>
      <c r="L15" s="18">
        <v>0</v>
      </c>
      <c r="M15" s="18">
        <v>96000</v>
      </c>
      <c r="N15" s="18"/>
      <c r="O15" s="18">
        <v>850000</v>
      </c>
      <c r="P15" s="18">
        <v>0</v>
      </c>
      <c r="Q15" s="18">
        <v>0</v>
      </c>
      <c r="R15" s="18">
        <v>0</v>
      </c>
      <c r="S15" s="18">
        <v>0</v>
      </c>
      <c r="T15" s="18">
        <f t="shared" si="5"/>
        <v>946000</v>
      </c>
      <c r="U15" s="18">
        <v>0</v>
      </c>
      <c r="V15" s="18">
        <v>150000</v>
      </c>
      <c r="W15" s="3">
        <v>690000</v>
      </c>
      <c r="X15" s="18">
        <v>3120000</v>
      </c>
      <c r="Y15" s="18">
        <v>220000</v>
      </c>
      <c r="Z15" s="18">
        <v>200000</v>
      </c>
      <c r="AA15" s="5">
        <v>1192</v>
      </c>
      <c r="AB15" s="20">
        <f t="shared" si="1"/>
        <v>36586465.329999998</v>
      </c>
      <c r="AC15" s="20">
        <v>233333.33332999999</v>
      </c>
      <c r="AD15" s="20">
        <v>150000</v>
      </c>
      <c r="AE15" s="20">
        <v>200000</v>
      </c>
      <c r="AF15" s="20">
        <v>132000</v>
      </c>
      <c r="AG15" s="20">
        <v>430000</v>
      </c>
      <c r="AH15" s="3">
        <f t="shared" si="2"/>
        <v>5375333.3333299998</v>
      </c>
      <c r="AI15" s="20">
        <f t="shared" si="3"/>
        <v>31211131.99667</v>
      </c>
      <c r="AJ15" s="5">
        <f t="shared" si="4"/>
        <v>85.307863755500975</v>
      </c>
    </row>
    <row r="16" spans="1:36" x14ac:dyDescent="0.2">
      <c r="A16" s="17" t="s">
        <v>566</v>
      </c>
      <c r="B16">
        <v>2024</v>
      </c>
      <c r="C16" s="18">
        <v>850.1</v>
      </c>
      <c r="D16" s="20">
        <f t="shared" si="0"/>
        <v>1272412.6780000001</v>
      </c>
      <c r="E16" s="18">
        <f t="shared" si="6"/>
        <v>90000</v>
      </c>
      <c r="F16" s="18">
        <v>721600</v>
      </c>
      <c r="G16" s="18">
        <v>31368000</v>
      </c>
      <c r="H16" s="18">
        <v>721600</v>
      </c>
      <c r="I16" s="18">
        <f>142634.96+692809.24+1383046.29</f>
        <v>2218490.4900000002</v>
      </c>
      <c r="J16" s="18">
        <v>0</v>
      </c>
      <c r="K16" s="18">
        <v>0</v>
      </c>
      <c r="L16" s="18">
        <v>0</v>
      </c>
      <c r="M16" s="18">
        <v>0</v>
      </c>
      <c r="N16" s="18"/>
      <c r="O16" s="18">
        <v>0</v>
      </c>
      <c r="P16" s="18">
        <v>0</v>
      </c>
      <c r="Q16" s="18">
        <v>714000</v>
      </c>
      <c r="R16" s="18">
        <v>0</v>
      </c>
      <c r="S16" s="18">
        <v>0</v>
      </c>
      <c r="T16" s="18">
        <f t="shared" si="5"/>
        <v>714000</v>
      </c>
      <c r="U16" s="18">
        <v>90000</v>
      </c>
      <c r="V16" s="18">
        <v>0</v>
      </c>
      <c r="W16" s="3">
        <v>690000</v>
      </c>
      <c r="X16" s="18">
        <v>3120000</v>
      </c>
      <c r="Y16" s="18">
        <v>220000</v>
      </c>
      <c r="Z16" s="18">
        <v>200000</v>
      </c>
      <c r="AA16" s="5">
        <v>1496.78</v>
      </c>
      <c r="AB16" s="20">
        <f t="shared" si="1"/>
        <v>37910953.267999999</v>
      </c>
      <c r="AC16" s="20">
        <v>233333.33332999999</v>
      </c>
      <c r="AD16" s="20">
        <v>350000</v>
      </c>
      <c r="AE16" s="20">
        <v>200000</v>
      </c>
      <c r="AF16" s="20">
        <v>132000</v>
      </c>
      <c r="AG16" s="20">
        <v>445000</v>
      </c>
      <c r="AH16" s="3">
        <f t="shared" si="2"/>
        <v>5590333.3333299998</v>
      </c>
      <c r="AI16" s="20">
        <f t="shared" si="3"/>
        <v>32320619.934670001</v>
      </c>
      <c r="AJ16" s="5">
        <f t="shared" si="4"/>
        <v>85.254041770432863</v>
      </c>
    </row>
    <row r="17" spans="1:36" x14ac:dyDescent="0.2">
      <c r="A17" s="17" t="s">
        <v>567</v>
      </c>
      <c r="B17">
        <v>2024</v>
      </c>
      <c r="C17" s="18">
        <v>2610.33</v>
      </c>
      <c r="D17" s="20">
        <f t="shared" si="0"/>
        <v>2999269.17</v>
      </c>
      <c r="E17" s="18">
        <f t="shared" si="6"/>
        <v>150000</v>
      </c>
      <c r="F17" s="18">
        <v>1212000</v>
      </c>
      <c r="G17" s="18">
        <v>36092000</v>
      </c>
      <c r="H17" s="18">
        <v>1212000</v>
      </c>
      <c r="I17" s="18">
        <f>1691815.53+2560553.15</f>
        <v>4252368.68</v>
      </c>
      <c r="J17" s="18">
        <v>80000</v>
      </c>
      <c r="K17" s="18">
        <v>100000</v>
      </c>
      <c r="L17" s="18">
        <v>0</v>
      </c>
      <c r="M17" s="18">
        <v>0</v>
      </c>
      <c r="N17" s="18"/>
      <c r="O17" s="18">
        <v>0</v>
      </c>
      <c r="P17" s="18">
        <v>850000</v>
      </c>
      <c r="Q17" s="18">
        <v>280000</v>
      </c>
      <c r="R17" s="18">
        <v>0</v>
      </c>
      <c r="S17" s="18">
        <v>0</v>
      </c>
      <c r="T17" s="18">
        <f t="shared" si="5"/>
        <v>1310000</v>
      </c>
      <c r="U17" s="18">
        <v>0</v>
      </c>
      <c r="V17" s="18">
        <v>150000</v>
      </c>
      <c r="W17" s="3">
        <v>690000</v>
      </c>
      <c r="X17" s="18">
        <v>3120000</v>
      </c>
      <c r="Y17" s="18">
        <v>220000</v>
      </c>
      <c r="Z17" s="18">
        <v>200000</v>
      </c>
      <c r="AA17" s="5">
        <v>1149</v>
      </c>
      <c r="AB17" s="20">
        <f t="shared" si="1"/>
        <v>48690248.18</v>
      </c>
      <c r="AC17" s="20">
        <v>233333.33332999999</v>
      </c>
      <c r="AD17" s="20">
        <v>250000</v>
      </c>
      <c r="AE17" s="20">
        <v>150000</v>
      </c>
      <c r="AF17" s="20">
        <v>132000</v>
      </c>
      <c r="AG17" s="20">
        <v>124000</v>
      </c>
      <c r="AH17" s="3">
        <f t="shared" si="2"/>
        <v>5119333.3333299998</v>
      </c>
      <c r="AI17" s="20">
        <f t="shared" si="3"/>
        <v>43570914.846670002</v>
      </c>
      <c r="AJ17" s="5">
        <f t="shared" si="4"/>
        <v>89.485916534241824</v>
      </c>
    </row>
    <row r="18" spans="1:36" x14ac:dyDescent="0.2">
      <c r="A18" s="17" t="s">
        <v>568</v>
      </c>
      <c r="B18">
        <v>2024</v>
      </c>
      <c r="C18" s="18">
        <v>2320.9</v>
      </c>
      <c r="D18" s="20">
        <f t="shared" si="0"/>
        <v>3410562.5500000003</v>
      </c>
      <c r="E18" s="18">
        <f t="shared" si="6"/>
        <v>236400</v>
      </c>
      <c r="F18" s="18">
        <v>1852800</v>
      </c>
      <c r="G18" s="18">
        <v>36808000</v>
      </c>
      <c r="H18" s="18">
        <v>1852800</v>
      </c>
      <c r="I18" s="18">
        <f>1925176.17+1810062.6</f>
        <v>3735238.77</v>
      </c>
      <c r="J18" s="18">
        <v>0</v>
      </c>
      <c r="K18" s="18">
        <v>0</v>
      </c>
      <c r="L18" s="18">
        <v>0</v>
      </c>
      <c r="M18" s="18">
        <v>0</v>
      </c>
      <c r="N18" s="18"/>
      <c r="O18" s="18">
        <v>0</v>
      </c>
      <c r="P18" s="18">
        <v>0</v>
      </c>
      <c r="Q18" s="18">
        <v>280000</v>
      </c>
      <c r="R18" s="18">
        <v>0</v>
      </c>
      <c r="S18" s="18">
        <v>0</v>
      </c>
      <c r="T18" s="18">
        <f t="shared" si="5"/>
        <v>280000</v>
      </c>
      <c r="U18" s="18">
        <v>86400</v>
      </c>
      <c r="V18" s="18">
        <v>150000</v>
      </c>
      <c r="W18" s="3">
        <v>690000</v>
      </c>
      <c r="X18" s="18">
        <v>3120000</v>
      </c>
      <c r="Y18" s="18">
        <v>220000</v>
      </c>
      <c r="Z18" s="18">
        <v>200000</v>
      </c>
      <c r="AA18" s="5">
        <v>1469.5</v>
      </c>
      <c r="AB18" s="20">
        <f t="shared" si="1"/>
        <v>48694522.220000006</v>
      </c>
      <c r="AC18" s="20">
        <v>233333.33332999999</v>
      </c>
      <c r="AD18" s="20">
        <v>250000</v>
      </c>
      <c r="AE18" s="20">
        <v>180000</v>
      </c>
      <c r="AF18" s="20">
        <v>132000</v>
      </c>
      <c r="AG18" s="20">
        <v>2456300</v>
      </c>
      <c r="AH18" s="3">
        <f t="shared" si="2"/>
        <v>7481633.3333299998</v>
      </c>
      <c r="AI18" s="20">
        <f t="shared" si="3"/>
        <v>41212888.886670008</v>
      </c>
      <c r="AJ18" s="5">
        <f t="shared" si="4"/>
        <v>84.635575025198392</v>
      </c>
    </row>
    <row r="19" spans="1:36" x14ac:dyDescent="0.2">
      <c r="A19" s="17" t="s">
        <v>569</v>
      </c>
      <c r="B19">
        <v>2024</v>
      </c>
      <c r="C19" s="18">
        <v>4501.1899999999996</v>
      </c>
      <c r="D19" s="20">
        <f t="shared" si="0"/>
        <v>6619990.1568</v>
      </c>
      <c r="E19" s="18">
        <f t="shared" si="6"/>
        <v>90000</v>
      </c>
      <c r="F19" s="18">
        <v>601600</v>
      </c>
      <c r="G19" s="18">
        <v>18950000</v>
      </c>
      <c r="H19" s="18">
        <v>601600</v>
      </c>
      <c r="I19" s="18">
        <f>1525075.83+1824964.32</f>
        <v>3350040.1500000004</v>
      </c>
      <c r="J19" s="18">
        <v>0</v>
      </c>
      <c r="K19" s="18">
        <v>0</v>
      </c>
      <c r="L19" s="18">
        <v>0</v>
      </c>
      <c r="M19" s="18">
        <v>0</v>
      </c>
      <c r="N19" s="18"/>
      <c r="O19" s="18">
        <v>0</v>
      </c>
      <c r="P19" s="18">
        <v>0</v>
      </c>
      <c r="Q19" s="18">
        <v>0</v>
      </c>
      <c r="R19" s="18">
        <v>0</v>
      </c>
      <c r="S19" s="18">
        <v>0</v>
      </c>
      <c r="T19" s="18">
        <f t="shared" si="5"/>
        <v>0</v>
      </c>
      <c r="U19" s="18">
        <v>90000</v>
      </c>
      <c r="V19" s="18">
        <v>0</v>
      </c>
      <c r="W19" s="3">
        <v>690000</v>
      </c>
      <c r="X19" s="18">
        <v>3120000</v>
      </c>
      <c r="Y19" s="18">
        <v>220000</v>
      </c>
      <c r="Z19" s="18">
        <v>200000</v>
      </c>
      <c r="AA19" s="5">
        <v>1470.72</v>
      </c>
      <c r="AB19" s="20">
        <f t="shared" si="1"/>
        <v>30307731.496799998</v>
      </c>
      <c r="AC19" s="20">
        <v>233333.33332999999</v>
      </c>
      <c r="AD19" s="20">
        <v>250000</v>
      </c>
      <c r="AE19" s="20">
        <v>150000</v>
      </c>
      <c r="AF19" s="20">
        <v>132000</v>
      </c>
      <c r="AG19" s="20">
        <v>3500600</v>
      </c>
      <c r="AH19" s="3">
        <f t="shared" si="2"/>
        <v>8495933.3333299998</v>
      </c>
      <c r="AI19" s="20">
        <f t="shared" si="3"/>
        <v>21811798.16347</v>
      </c>
      <c r="AJ19" s="5">
        <f t="shared" si="4"/>
        <v>71.967768903367016</v>
      </c>
    </row>
    <row r="20" spans="1:36" x14ac:dyDescent="0.2">
      <c r="A20" s="17" t="s">
        <v>570</v>
      </c>
      <c r="B20">
        <v>2024</v>
      </c>
      <c r="C20" s="18">
        <v>3401.38</v>
      </c>
      <c r="D20" s="20">
        <f t="shared" si="0"/>
        <v>5310404.5250000004</v>
      </c>
      <c r="E20" s="18">
        <f t="shared" si="6"/>
        <v>150000</v>
      </c>
      <c r="F20" s="18">
        <v>740724.57</v>
      </c>
      <c r="G20" s="18">
        <v>35604466.340000004</v>
      </c>
      <c r="H20" s="18">
        <v>740724.57</v>
      </c>
      <c r="I20" s="18">
        <f>1515201.65+1022479.79</f>
        <v>2537681.44</v>
      </c>
      <c r="J20" s="18">
        <v>0</v>
      </c>
      <c r="K20" s="18">
        <v>0</v>
      </c>
      <c r="L20" s="18">
        <v>0</v>
      </c>
      <c r="M20" s="18">
        <v>100000</v>
      </c>
      <c r="N20" s="18"/>
      <c r="O20" s="18">
        <v>855000</v>
      </c>
      <c r="P20" s="18">
        <v>0</v>
      </c>
      <c r="Q20" s="18">
        <v>880000</v>
      </c>
      <c r="R20" s="18">
        <v>150000</v>
      </c>
      <c r="S20" s="18">
        <v>0</v>
      </c>
      <c r="T20" s="18">
        <f t="shared" si="5"/>
        <v>1985000</v>
      </c>
      <c r="U20" s="18">
        <v>0</v>
      </c>
      <c r="V20" s="18">
        <v>150000</v>
      </c>
      <c r="W20" s="3">
        <v>690000</v>
      </c>
      <c r="X20" s="18">
        <v>3120000</v>
      </c>
      <c r="Y20" s="18">
        <v>220000</v>
      </c>
      <c r="Z20" s="18">
        <v>210000</v>
      </c>
      <c r="AA20" s="5">
        <v>1561.25</v>
      </c>
      <c r="AB20" s="20">
        <f t="shared" si="1"/>
        <v>49207402.825000003</v>
      </c>
      <c r="AC20" s="20">
        <v>233333.33332999999</v>
      </c>
      <c r="AD20" s="20">
        <v>250000</v>
      </c>
      <c r="AE20" s="20">
        <v>160000</v>
      </c>
      <c r="AF20" s="20">
        <v>132000</v>
      </c>
      <c r="AG20" s="20">
        <v>450000</v>
      </c>
      <c r="AH20" s="3">
        <f t="shared" si="2"/>
        <v>5465333.3333299998</v>
      </c>
      <c r="AI20" s="20">
        <f t="shared" si="3"/>
        <v>43742069.491670005</v>
      </c>
      <c r="AJ20" s="5">
        <f t="shared" si="4"/>
        <v>88.893270078149072</v>
      </c>
    </row>
    <row r="21" spans="1:36" x14ac:dyDescent="0.2">
      <c r="A21" s="17" t="s">
        <v>571</v>
      </c>
      <c r="B21">
        <v>2024</v>
      </c>
      <c r="C21" s="18">
        <v>2010.01</v>
      </c>
      <c r="D21" s="20">
        <f t="shared" si="0"/>
        <v>3165263.2475000001</v>
      </c>
      <c r="E21" s="18">
        <f t="shared" si="6"/>
        <v>100000</v>
      </c>
      <c r="F21" s="18">
        <v>1923200</v>
      </c>
      <c r="G21" s="18">
        <v>39300100</v>
      </c>
      <c r="H21" s="18">
        <v>1923200</v>
      </c>
      <c r="I21" s="18">
        <f>885555.41+791175.22+717819.7</f>
        <v>2394550.33</v>
      </c>
      <c r="J21" s="18">
        <v>0</v>
      </c>
      <c r="K21" s="18">
        <v>120000</v>
      </c>
      <c r="L21" s="18">
        <v>0</v>
      </c>
      <c r="M21" s="18">
        <v>0</v>
      </c>
      <c r="N21" s="18"/>
      <c r="O21" s="18">
        <v>0</v>
      </c>
      <c r="P21" s="18">
        <v>0</v>
      </c>
      <c r="Q21" s="18">
        <v>0</v>
      </c>
      <c r="R21" s="18">
        <v>0</v>
      </c>
      <c r="S21" s="18">
        <v>0</v>
      </c>
      <c r="T21" s="18">
        <f t="shared" si="5"/>
        <v>120000</v>
      </c>
      <c r="U21" s="18">
        <v>100000</v>
      </c>
      <c r="V21" s="18">
        <v>0</v>
      </c>
      <c r="W21" s="3">
        <v>690000</v>
      </c>
      <c r="X21" s="18">
        <v>3120000</v>
      </c>
      <c r="Y21" s="18">
        <v>320000</v>
      </c>
      <c r="Z21" s="18">
        <v>200000</v>
      </c>
      <c r="AA21" s="5">
        <v>1574.75</v>
      </c>
      <c r="AB21" s="20">
        <f t="shared" si="1"/>
        <v>49148323.587499999</v>
      </c>
      <c r="AC21" s="20">
        <v>233333.33332999999</v>
      </c>
      <c r="AD21" s="20">
        <v>350000</v>
      </c>
      <c r="AE21" s="20">
        <v>160000</v>
      </c>
      <c r="AF21" s="20">
        <v>132000</v>
      </c>
      <c r="AG21" s="20">
        <v>555000</v>
      </c>
      <c r="AH21" s="3">
        <f t="shared" si="2"/>
        <v>5760333.3333299998</v>
      </c>
      <c r="AI21" s="20">
        <f t="shared" si="3"/>
        <v>43387990.254170001</v>
      </c>
      <c r="AJ21" s="5">
        <f t="shared" si="4"/>
        <v>88.279695190264775</v>
      </c>
    </row>
    <row r="22" spans="1:36" x14ac:dyDescent="0.2">
      <c r="A22" s="17" t="s">
        <v>572</v>
      </c>
      <c r="B22">
        <v>2024</v>
      </c>
      <c r="C22" s="18">
        <v>2200.1999999999998</v>
      </c>
      <c r="D22" s="20">
        <f t="shared" si="0"/>
        <v>3605247.7199999993</v>
      </c>
      <c r="E22" s="18">
        <f t="shared" si="6"/>
        <v>525600</v>
      </c>
      <c r="F22" s="18">
        <v>320000</v>
      </c>
      <c r="G22" s="18">
        <v>25728457.140000001</v>
      </c>
      <c r="H22" s="18">
        <v>320000</v>
      </c>
      <c r="I22" s="18">
        <f>666809.8+638344.12</f>
        <v>1305153.92</v>
      </c>
      <c r="J22" s="18">
        <v>0</v>
      </c>
      <c r="K22" s="18">
        <v>0</v>
      </c>
      <c r="L22" s="18">
        <v>0</v>
      </c>
      <c r="M22" s="18">
        <v>0</v>
      </c>
      <c r="N22" s="18"/>
      <c r="O22" s="18">
        <v>0</v>
      </c>
      <c r="P22" s="18">
        <v>0</v>
      </c>
      <c r="Q22" s="18">
        <v>0</v>
      </c>
      <c r="R22" s="18">
        <v>0</v>
      </c>
      <c r="S22" s="18">
        <v>0</v>
      </c>
      <c r="T22" s="18">
        <f t="shared" si="5"/>
        <v>0</v>
      </c>
      <c r="U22" s="18">
        <v>0</v>
      </c>
      <c r="V22" s="18">
        <v>525600</v>
      </c>
      <c r="W22" s="3">
        <v>690000</v>
      </c>
      <c r="X22" s="18">
        <v>3120000</v>
      </c>
      <c r="Y22" s="18">
        <v>320000</v>
      </c>
      <c r="Z22" s="18">
        <v>200000</v>
      </c>
      <c r="AA22" s="5">
        <v>1638.6</v>
      </c>
      <c r="AB22" s="20">
        <f t="shared" si="1"/>
        <v>32332258.980000004</v>
      </c>
      <c r="AC22" s="20">
        <v>233333.33332999999</v>
      </c>
      <c r="AD22" s="20">
        <v>350000</v>
      </c>
      <c r="AE22" s="20">
        <v>160000</v>
      </c>
      <c r="AF22" s="20">
        <v>132000</v>
      </c>
      <c r="AG22" s="20">
        <v>456000</v>
      </c>
      <c r="AH22" s="3">
        <f t="shared" si="2"/>
        <v>5661333.3333299998</v>
      </c>
      <c r="AI22" s="20">
        <f t="shared" si="3"/>
        <v>26670925.646670006</v>
      </c>
      <c r="AJ22" s="5">
        <f t="shared" si="4"/>
        <v>82.490139841970318</v>
      </c>
    </row>
    <row r="23" spans="1:36" x14ac:dyDescent="0.2">
      <c r="A23" s="17" t="s">
        <v>573</v>
      </c>
      <c r="B23">
        <v>2024</v>
      </c>
      <c r="C23" s="18">
        <v>1004.76</v>
      </c>
      <c r="D23" s="20">
        <f t="shared" si="0"/>
        <v>1632735</v>
      </c>
      <c r="E23" s="18">
        <f t="shared" si="6"/>
        <v>280000</v>
      </c>
      <c r="F23" s="18">
        <v>1327200</v>
      </c>
      <c r="G23" s="18">
        <v>39155200</v>
      </c>
      <c r="H23" s="18">
        <v>1327200</v>
      </c>
      <c r="I23" s="18">
        <f>735601.14+674589.86</f>
        <v>1410191</v>
      </c>
      <c r="J23" s="18">
        <v>100000</v>
      </c>
      <c r="K23" s="18">
        <v>320000</v>
      </c>
      <c r="L23" s="18">
        <v>0</v>
      </c>
      <c r="M23" s="18">
        <v>0</v>
      </c>
      <c r="N23" s="18"/>
      <c r="O23" s="18">
        <v>900000</v>
      </c>
      <c r="P23" s="18">
        <v>0</v>
      </c>
      <c r="Q23" s="18">
        <v>0</v>
      </c>
      <c r="R23" s="18">
        <v>110000</v>
      </c>
      <c r="S23" s="18">
        <v>0</v>
      </c>
      <c r="T23" s="18">
        <f t="shared" si="5"/>
        <v>1430000</v>
      </c>
      <c r="U23" s="18">
        <v>100000</v>
      </c>
      <c r="V23" s="18">
        <v>180000</v>
      </c>
      <c r="W23" s="3">
        <v>690000</v>
      </c>
      <c r="X23" s="18">
        <v>3120000</v>
      </c>
      <c r="Y23" s="18">
        <v>320000</v>
      </c>
      <c r="Z23" s="18">
        <v>1280000</v>
      </c>
      <c r="AA23" s="5">
        <v>1625</v>
      </c>
      <c r="AB23" s="20">
        <f t="shared" si="1"/>
        <v>48273530.759999998</v>
      </c>
      <c r="AC23" s="20">
        <v>233333.33332999999</v>
      </c>
      <c r="AD23" s="20">
        <v>250000</v>
      </c>
      <c r="AE23" s="20">
        <v>160000</v>
      </c>
      <c r="AF23" s="20">
        <v>153201</v>
      </c>
      <c r="AG23" s="20">
        <v>444002</v>
      </c>
      <c r="AH23" s="3">
        <f t="shared" si="2"/>
        <v>6650536.3333299998</v>
      </c>
      <c r="AI23" s="20">
        <f t="shared" si="3"/>
        <v>41622994.42667</v>
      </c>
      <c r="AJ23" s="5">
        <f t="shared" si="4"/>
        <v>86.22322372400258</v>
      </c>
    </row>
    <row r="24" spans="1:36" x14ac:dyDescent="0.2">
      <c r="A24" s="17" t="s">
        <v>574</v>
      </c>
      <c r="B24">
        <v>2024</v>
      </c>
      <c r="C24" s="18">
        <v>1574.27</v>
      </c>
      <c r="D24" s="20">
        <f t="shared" si="0"/>
        <v>2621505.8894000002</v>
      </c>
      <c r="E24" s="18">
        <f t="shared" si="6"/>
        <v>300000</v>
      </c>
      <c r="F24" s="18">
        <v>3537000</v>
      </c>
      <c r="G24" s="18">
        <v>28153000</v>
      </c>
      <c r="H24" s="18">
        <v>3537000</v>
      </c>
      <c r="I24" s="18">
        <f>512480.39+332378.4</f>
        <v>844858.79</v>
      </c>
      <c r="J24" s="18">
        <v>100000</v>
      </c>
      <c r="K24" s="18">
        <v>0</v>
      </c>
      <c r="L24" s="18">
        <v>0</v>
      </c>
      <c r="M24" s="18">
        <v>0</v>
      </c>
      <c r="N24" s="18"/>
      <c r="O24" s="18">
        <v>0</v>
      </c>
      <c r="P24" s="18">
        <v>0</v>
      </c>
      <c r="Q24" s="18">
        <v>0</v>
      </c>
      <c r="R24" s="18">
        <v>200000</v>
      </c>
      <c r="S24" s="18">
        <v>0</v>
      </c>
      <c r="T24" s="18">
        <f t="shared" si="5"/>
        <v>300000</v>
      </c>
      <c r="U24" s="18">
        <v>100000</v>
      </c>
      <c r="V24" s="18">
        <v>200000</v>
      </c>
      <c r="W24" s="3">
        <v>690000</v>
      </c>
      <c r="X24" s="18">
        <v>3120000</v>
      </c>
      <c r="Y24" s="18">
        <v>320000</v>
      </c>
      <c r="Z24" s="18">
        <v>350000</v>
      </c>
      <c r="AA24" s="5">
        <v>1665.22</v>
      </c>
      <c r="AB24" s="20">
        <f t="shared" si="1"/>
        <v>39894938.9494</v>
      </c>
      <c r="AC24" s="20">
        <v>233333.33332999999</v>
      </c>
      <c r="AD24" s="20">
        <v>250000</v>
      </c>
      <c r="AE24" s="20">
        <v>160000</v>
      </c>
      <c r="AF24" s="20">
        <v>153201</v>
      </c>
      <c r="AG24" s="20">
        <v>250000</v>
      </c>
      <c r="AH24" s="3">
        <f t="shared" si="2"/>
        <v>5526534.3333299998</v>
      </c>
      <c r="AI24" s="20">
        <f t="shared" si="3"/>
        <v>34368404.616070002</v>
      </c>
      <c r="AJ24" s="5">
        <f t="shared" si="4"/>
        <v>86.147279632788823</v>
      </c>
    </row>
    <row r="25" spans="1:36" x14ac:dyDescent="0.2">
      <c r="A25" s="17" t="s">
        <v>575</v>
      </c>
      <c r="B25">
        <v>2024</v>
      </c>
      <c r="C25" s="18">
        <v>2013.22</v>
      </c>
      <c r="D25" s="20">
        <f t="shared" si="0"/>
        <v>3118558.3087999998</v>
      </c>
      <c r="E25" s="18">
        <f t="shared" si="6"/>
        <v>0</v>
      </c>
      <c r="F25" s="18">
        <v>1250000</v>
      </c>
      <c r="G25" s="18">
        <v>18516800</v>
      </c>
      <c r="H25" s="18">
        <v>1250000</v>
      </c>
      <c r="I25" s="18">
        <f>415684.57+305421.05</f>
        <v>721105.62</v>
      </c>
      <c r="J25" s="18">
        <v>0</v>
      </c>
      <c r="K25" s="18">
        <v>0</v>
      </c>
      <c r="L25" s="18">
        <v>0</v>
      </c>
      <c r="M25" s="18">
        <v>0</v>
      </c>
      <c r="N25" s="18"/>
      <c r="O25" s="18">
        <v>0</v>
      </c>
      <c r="P25" s="18">
        <v>0</v>
      </c>
      <c r="Q25" s="18">
        <v>380000</v>
      </c>
      <c r="R25" s="18">
        <v>0</v>
      </c>
      <c r="S25" s="18">
        <v>0</v>
      </c>
      <c r="T25" s="18">
        <f t="shared" si="5"/>
        <v>380000</v>
      </c>
      <c r="U25" s="18">
        <v>0</v>
      </c>
      <c r="V25" s="18">
        <v>0</v>
      </c>
      <c r="W25" s="3">
        <v>690000</v>
      </c>
      <c r="X25" s="18">
        <v>3120000</v>
      </c>
      <c r="Y25" s="18">
        <v>320000</v>
      </c>
      <c r="Z25" s="18">
        <v>1250000</v>
      </c>
      <c r="AA25" s="5">
        <v>1549.04</v>
      </c>
      <c r="AB25" s="20">
        <f t="shared" si="1"/>
        <v>25618477.148800001</v>
      </c>
      <c r="AC25" s="20">
        <v>233333.33332999999</v>
      </c>
      <c r="AD25" s="20">
        <v>250000</v>
      </c>
      <c r="AE25" s="20">
        <v>160000</v>
      </c>
      <c r="AF25" s="20">
        <v>153201</v>
      </c>
      <c r="AG25" s="20">
        <v>567000</v>
      </c>
      <c r="AH25" s="3">
        <f>W25+X25+Y25+Z25+AC25+AD25+AE25+AF25+AG25</f>
        <v>6743534.3333299998</v>
      </c>
      <c r="AI25" s="20">
        <f t="shared" si="3"/>
        <v>18874942.815470003</v>
      </c>
      <c r="AJ25" s="5">
        <f t="shared" si="4"/>
        <v>73.677067945290133</v>
      </c>
    </row>
    <row r="26" spans="1:36" x14ac:dyDescent="0.2">
      <c r="A26" s="17" t="s">
        <v>564</v>
      </c>
      <c r="B26">
        <v>2025</v>
      </c>
      <c r="C26" s="18">
        <v>2011.22</v>
      </c>
      <c r="D26" s="20">
        <f t="shared" si="0"/>
        <v>3117934.0293999999</v>
      </c>
      <c r="E26" s="18">
        <f t="shared" si="6"/>
        <v>380000</v>
      </c>
      <c r="F26" s="18">
        <v>1432800</v>
      </c>
      <c r="G26" s="18">
        <v>28361200</v>
      </c>
      <c r="H26" s="18">
        <v>1432800</v>
      </c>
      <c r="I26" s="18">
        <f>268411.58+245354.78</f>
        <v>513766.36</v>
      </c>
      <c r="J26" s="18">
        <v>0</v>
      </c>
      <c r="K26" s="18">
        <v>0</v>
      </c>
      <c r="L26" s="18">
        <v>0</v>
      </c>
      <c r="M26" s="18">
        <v>0</v>
      </c>
      <c r="N26" s="18"/>
      <c r="O26" s="18">
        <v>0</v>
      </c>
      <c r="P26" s="18">
        <v>0</v>
      </c>
      <c r="Q26" s="18">
        <v>0</v>
      </c>
      <c r="R26" s="18">
        <v>0</v>
      </c>
      <c r="S26" s="18">
        <v>0</v>
      </c>
      <c r="T26" s="18">
        <f t="shared" si="5"/>
        <v>0</v>
      </c>
      <c r="U26" s="18">
        <v>0</v>
      </c>
      <c r="V26" s="18">
        <v>380000</v>
      </c>
      <c r="W26" s="3">
        <v>262200</v>
      </c>
      <c r="X26" s="18">
        <v>2850000</v>
      </c>
      <c r="Y26" s="18">
        <v>320000</v>
      </c>
      <c r="Z26" s="18">
        <v>100000</v>
      </c>
      <c r="AA26" s="5">
        <v>1550.27</v>
      </c>
      <c r="AB26" s="20">
        <f t="shared" si="1"/>
        <v>35620511.609400004</v>
      </c>
      <c r="AC26" s="20">
        <v>233333.33332999999</v>
      </c>
      <c r="AD26" s="20">
        <v>350000</v>
      </c>
      <c r="AE26" s="20">
        <v>160000</v>
      </c>
      <c r="AF26" s="20">
        <v>153201</v>
      </c>
      <c r="AG26" s="20">
        <v>850000</v>
      </c>
      <c r="AH26" s="3">
        <f t="shared" si="2"/>
        <v>5278734.3333299998</v>
      </c>
      <c r="AI26" s="20">
        <f t="shared" si="3"/>
        <v>30341777.276070006</v>
      </c>
      <c r="AJ26" s="5">
        <f t="shared" si="4"/>
        <v>85.18063302623375</v>
      </c>
    </row>
    <row r="27" spans="1:36" x14ac:dyDescent="0.2">
      <c r="A27" s="17" t="s">
        <v>565</v>
      </c>
      <c r="B27">
        <v>2025</v>
      </c>
      <c r="C27" s="18">
        <v>1022.11</v>
      </c>
      <c r="D27" s="20">
        <f t="shared" si="0"/>
        <v>1563194.5918000001</v>
      </c>
      <c r="E27" s="18">
        <f t="shared" si="6"/>
        <v>400000</v>
      </c>
      <c r="F27" s="18">
        <v>1972800</v>
      </c>
      <c r="G27" s="18">
        <v>29187200</v>
      </c>
      <c r="H27" s="18">
        <v>1972800</v>
      </c>
      <c r="I27" s="18">
        <f>225366.33+265852.6</f>
        <v>491218.92999999993</v>
      </c>
      <c r="J27" s="18">
        <v>0</v>
      </c>
      <c r="K27" s="18">
        <v>0</v>
      </c>
      <c r="L27" s="18">
        <v>0</v>
      </c>
      <c r="M27" s="18">
        <v>0</v>
      </c>
      <c r="N27" s="18"/>
      <c r="O27" s="18">
        <v>0</v>
      </c>
      <c r="P27" s="18">
        <v>0</v>
      </c>
      <c r="Q27" s="18">
        <v>0</v>
      </c>
      <c r="R27" s="18">
        <v>0</v>
      </c>
      <c r="S27" s="18">
        <v>0</v>
      </c>
      <c r="T27" s="18">
        <f t="shared" si="5"/>
        <v>0</v>
      </c>
      <c r="U27" s="18">
        <v>0</v>
      </c>
      <c r="V27" s="18">
        <v>400000</v>
      </c>
      <c r="W27" s="3">
        <v>262200</v>
      </c>
      <c r="X27" s="18">
        <v>2850000</v>
      </c>
      <c r="Y27" s="18">
        <v>320000</v>
      </c>
      <c r="Z27" s="18">
        <v>350000</v>
      </c>
      <c r="AA27" s="5">
        <v>1529.38</v>
      </c>
      <c r="AB27" s="20">
        <f t="shared" si="1"/>
        <v>35988235.631800003</v>
      </c>
      <c r="AC27" s="20">
        <v>233333.33332999999</v>
      </c>
      <c r="AD27" s="20">
        <v>350000</v>
      </c>
      <c r="AE27" s="20">
        <v>160000</v>
      </c>
      <c r="AF27" s="20">
        <v>153201</v>
      </c>
      <c r="AG27" s="20">
        <v>650000</v>
      </c>
      <c r="AH27" s="3">
        <f t="shared" si="2"/>
        <v>5328734.3333299998</v>
      </c>
      <c r="AI27" s="20">
        <f t="shared" si="3"/>
        <v>30659501.298470005</v>
      </c>
      <c r="AJ27" s="5">
        <f t="shared" si="4"/>
        <v>85.193121474892735</v>
      </c>
    </row>
    <row r="28" spans="1:36" x14ac:dyDescent="0.2">
      <c r="A28" s="17" t="s">
        <v>566</v>
      </c>
      <c r="B28">
        <v>2025</v>
      </c>
      <c r="C28" s="18">
        <v>900.3</v>
      </c>
      <c r="D28" s="20">
        <f t="shared" si="0"/>
        <v>1374911.1510000001</v>
      </c>
      <c r="E28" s="18">
        <f t="shared" si="6"/>
        <v>300000</v>
      </c>
      <c r="F28" s="18">
        <v>720000</v>
      </c>
      <c r="G28" s="18">
        <v>25219600</v>
      </c>
      <c r="H28" s="18">
        <v>720000</v>
      </c>
      <c r="I28" s="18">
        <f>527298.9+302574.6+578837.49</f>
        <v>1408710.99</v>
      </c>
      <c r="J28" s="18">
        <v>0</v>
      </c>
      <c r="K28" s="18">
        <v>0</v>
      </c>
      <c r="L28" s="18">
        <v>1050000</v>
      </c>
      <c r="M28" s="18">
        <v>0</v>
      </c>
      <c r="N28" s="18"/>
      <c r="O28" s="18">
        <v>0</v>
      </c>
      <c r="P28" s="18">
        <v>0</v>
      </c>
      <c r="Q28" s="18">
        <v>0</v>
      </c>
      <c r="R28" s="18">
        <v>0</v>
      </c>
      <c r="S28" s="18">
        <v>0</v>
      </c>
      <c r="T28" s="18">
        <f t="shared" si="5"/>
        <v>1050000</v>
      </c>
      <c r="U28" s="18">
        <v>300000</v>
      </c>
      <c r="V28" s="18">
        <v>0</v>
      </c>
      <c r="W28" s="3">
        <v>262200</v>
      </c>
      <c r="X28" s="18">
        <v>2850000</v>
      </c>
      <c r="Y28" s="18">
        <v>320000</v>
      </c>
      <c r="Z28" s="18">
        <v>450000</v>
      </c>
      <c r="AA28" s="5">
        <v>1527.17</v>
      </c>
      <c r="AB28" s="20">
        <f t="shared" si="1"/>
        <v>32144122.441</v>
      </c>
      <c r="AC28" s="20">
        <v>233333.33332999999</v>
      </c>
      <c r="AD28" s="20">
        <v>250000</v>
      </c>
      <c r="AE28" s="20">
        <v>160000</v>
      </c>
      <c r="AF28" s="20">
        <v>153201</v>
      </c>
      <c r="AG28" s="20">
        <v>540500</v>
      </c>
      <c r="AH28" s="3">
        <f t="shared" si="2"/>
        <v>5219234.3333299998</v>
      </c>
      <c r="AI28" s="20">
        <f t="shared" si="3"/>
        <v>26924888.107670002</v>
      </c>
      <c r="AJ28" s="5">
        <f t="shared" si="4"/>
        <v>83.763021240011099</v>
      </c>
    </row>
    <row r="29" spans="1:36" x14ac:dyDescent="0.2">
      <c r="A29" s="17" t="s">
        <v>567</v>
      </c>
      <c r="B29">
        <v>2025</v>
      </c>
      <c r="C29" s="18">
        <v>902.3</v>
      </c>
      <c r="D29" s="20">
        <f t="shared" si="0"/>
        <v>1427709.2899999998</v>
      </c>
      <c r="E29" s="18">
        <f t="shared" si="6"/>
        <v>1688000</v>
      </c>
      <c r="F29" s="18">
        <v>892800</v>
      </c>
      <c r="G29" s="18">
        <v>33367600</v>
      </c>
      <c r="H29" s="18">
        <v>892800</v>
      </c>
      <c r="I29" s="18">
        <v>623386.82999999996</v>
      </c>
      <c r="J29" s="18">
        <v>0</v>
      </c>
      <c r="K29" s="18">
        <v>0</v>
      </c>
      <c r="L29" s="18">
        <v>0</v>
      </c>
      <c r="M29" s="18">
        <v>0</v>
      </c>
      <c r="N29" s="18"/>
      <c r="O29" s="18">
        <v>0</v>
      </c>
      <c r="P29" s="18">
        <v>0</v>
      </c>
      <c r="Q29" s="18">
        <v>380000</v>
      </c>
      <c r="R29" s="18">
        <v>0</v>
      </c>
      <c r="S29" s="18">
        <v>0</v>
      </c>
      <c r="T29" s="18">
        <f t="shared" si="5"/>
        <v>380000</v>
      </c>
      <c r="U29" s="18">
        <v>0</v>
      </c>
      <c r="V29" s="18">
        <v>1688000</v>
      </c>
      <c r="W29" s="3">
        <v>262200</v>
      </c>
      <c r="X29" s="18">
        <v>2850000</v>
      </c>
      <c r="Y29" s="18">
        <v>320000</v>
      </c>
      <c r="Z29" s="18">
        <v>0</v>
      </c>
      <c r="AA29" s="5">
        <v>1582.3</v>
      </c>
      <c r="AB29" s="20">
        <f t="shared" si="1"/>
        <v>41341198.420000002</v>
      </c>
      <c r="AC29" s="20">
        <v>233333.33332999999</v>
      </c>
      <c r="AD29" s="20">
        <v>250000</v>
      </c>
      <c r="AE29" s="20">
        <v>140000</v>
      </c>
      <c r="AF29" s="20">
        <v>153201</v>
      </c>
      <c r="AG29" s="20">
        <v>523000</v>
      </c>
      <c r="AH29" s="3">
        <f t="shared" si="2"/>
        <v>4731734.3333299998</v>
      </c>
      <c r="AI29" s="20">
        <f t="shared" si="3"/>
        <v>36609464.086670004</v>
      </c>
      <c r="AJ29" s="5">
        <f t="shared" si="4"/>
        <v>88.554433557395654</v>
      </c>
    </row>
    <row r="30" spans="1:36" x14ac:dyDescent="0.2">
      <c r="A30" s="17" t="s">
        <v>568</v>
      </c>
      <c r="B30">
        <v>2025</v>
      </c>
      <c r="C30" s="18">
        <v>900.2</v>
      </c>
      <c r="D30" s="20">
        <f t="shared" si="0"/>
        <v>1437880.4580000001</v>
      </c>
      <c r="E30" s="18">
        <f t="shared" si="6"/>
        <v>100000</v>
      </c>
      <c r="F30" s="18">
        <v>1260000</v>
      </c>
      <c r="G30" s="18">
        <v>13860000</v>
      </c>
      <c r="H30" s="18">
        <v>1260000</v>
      </c>
      <c r="I30" s="18">
        <v>0</v>
      </c>
      <c r="J30" s="18">
        <v>0</v>
      </c>
      <c r="K30" s="18">
        <v>0</v>
      </c>
      <c r="L30" s="18">
        <v>0</v>
      </c>
      <c r="M30" s="18">
        <v>0</v>
      </c>
      <c r="N30" s="18"/>
      <c r="O30" s="18">
        <v>0</v>
      </c>
      <c r="P30" s="18">
        <v>0</v>
      </c>
      <c r="Q30" s="18">
        <v>0</v>
      </c>
      <c r="R30" s="18">
        <v>0</v>
      </c>
      <c r="S30" s="18">
        <v>0</v>
      </c>
      <c r="T30" s="18">
        <f t="shared" si="5"/>
        <v>0</v>
      </c>
      <c r="U30" s="18">
        <v>100000</v>
      </c>
      <c r="V30" s="18">
        <v>0</v>
      </c>
      <c r="W30" s="3">
        <v>262200</v>
      </c>
      <c r="X30" s="18">
        <v>2850000</v>
      </c>
      <c r="Y30" s="18">
        <v>320000</v>
      </c>
      <c r="Z30" s="18">
        <v>0</v>
      </c>
      <c r="AA30" s="5">
        <v>1597.29</v>
      </c>
      <c r="AB30" s="20">
        <f t="shared" si="1"/>
        <v>18018780.658</v>
      </c>
      <c r="AC30" s="20">
        <v>233333.33332999999</v>
      </c>
      <c r="AD30" s="20">
        <v>250000</v>
      </c>
      <c r="AE30" s="20">
        <v>140000</v>
      </c>
      <c r="AF30" s="20">
        <v>153201</v>
      </c>
      <c r="AG30" s="20">
        <v>135000</v>
      </c>
      <c r="AH30" s="3">
        <f t="shared" si="2"/>
        <v>4343734.3333299998</v>
      </c>
      <c r="AI30" s="20">
        <f t="shared" si="3"/>
        <v>13675046.32467</v>
      </c>
      <c r="AJ30" s="5">
        <f t="shared" si="4"/>
        <v>75.893294802934051</v>
      </c>
    </row>
    <row r="31" spans="1:36" x14ac:dyDescent="0.2">
      <c r="A31" s="17" t="s">
        <v>569</v>
      </c>
      <c r="B31">
        <v>2025</v>
      </c>
      <c r="C31" s="18">
        <v>902.1</v>
      </c>
      <c r="D31" s="20">
        <f t="shared" si="0"/>
        <v>1405156.0650000002</v>
      </c>
      <c r="E31" s="18">
        <f t="shared" si="6"/>
        <v>500000</v>
      </c>
      <c r="F31" s="18">
        <v>1260000</v>
      </c>
      <c r="G31" s="18">
        <v>2100000</v>
      </c>
      <c r="H31" s="18">
        <v>1260000</v>
      </c>
      <c r="I31" s="18">
        <v>0</v>
      </c>
      <c r="J31" s="18">
        <v>0</v>
      </c>
      <c r="K31" s="18">
        <v>0</v>
      </c>
      <c r="L31" s="18">
        <v>0</v>
      </c>
      <c r="M31" s="18">
        <v>0</v>
      </c>
      <c r="N31" s="18"/>
      <c r="O31" s="18">
        <v>0</v>
      </c>
      <c r="P31" s="18">
        <v>0</v>
      </c>
      <c r="Q31" s="18">
        <v>0</v>
      </c>
      <c r="R31" s="18">
        <v>0</v>
      </c>
      <c r="S31" s="18">
        <v>0</v>
      </c>
      <c r="T31" s="18">
        <f t="shared" si="5"/>
        <v>0</v>
      </c>
      <c r="U31" s="18">
        <v>100000</v>
      </c>
      <c r="V31" s="18">
        <v>400000</v>
      </c>
      <c r="W31" s="3">
        <v>262200</v>
      </c>
      <c r="X31" s="18">
        <v>2850000</v>
      </c>
      <c r="Y31" s="18">
        <v>320000</v>
      </c>
      <c r="Z31" s="18">
        <v>0</v>
      </c>
      <c r="AA31" s="5">
        <v>1557.65</v>
      </c>
      <c r="AB31" s="20">
        <f t="shared" si="1"/>
        <v>7026058.165</v>
      </c>
      <c r="AC31" s="20">
        <v>233333.33332999999</v>
      </c>
      <c r="AD31" s="20">
        <v>250000</v>
      </c>
      <c r="AE31" s="20">
        <v>140000</v>
      </c>
      <c r="AF31" s="20">
        <v>153201</v>
      </c>
      <c r="AG31" s="20">
        <v>4500000</v>
      </c>
      <c r="AH31" s="3">
        <f t="shared" si="2"/>
        <v>8708734.3333299998</v>
      </c>
      <c r="AI31" s="20">
        <f t="shared" si="3"/>
        <v>-1682676.1683299998</v>
      </c>
      <c r="AJ31" s="5">
        <f t="shared" si="4"/>
        <v>-23.949078257168111</v>
      </c>
    </row>
    <row r="32" spans="1:36" x14ac:dyDescent="0.2">
      <c r="A32" s="17" t="s">
        <v>570</v>
      </c>
      <c r="B32">
        <v>2025</v>
      </c>
      <c r="C32" s="18">
        <v>850.3</v>
      </c>
      <c r="D32" s="20">
        <f t="shared" si="0"/>
        <v>1302004.8689999999</v>
      </c>
      <c r="E32" s="18">
        <f t="shared" si="6"/>
        <v>700000</v>
      </c>
      <c r="F32" s="18">
        <v>920000</v>
      </c>
      <c r="G32" s="18">
        <v>17912090</v>
      </c>
      <c r="H32" s="18">
        <v>920000</v>
      </c>
      <c r="I32" s="18">
        <v>0</v>
      </c>
      <c r="J32" s="18">
        <v>140000</v>
      </c>
      <c r="K32" s="18">
        <v>0</v>
      </c>
      <c r="L32" s="18">
        <v>0</v>
      </c>
      <c r="M32" s="18">
        <v>0</v>
      </c>
      <c r="N32" s="18"/>
      <c r="O32" s="18">
        <v>0</v>
      </c>
      <c r="P32" s="18">
        <v>0</v>
      </c>
      <c r="Q32" s="18">
        <v>0</v>
      </c>
      <c r="R32" s="18">
        <v>0</v>
      </c>
      <c r="S32" s="18">
        <v>760000</v>
      </c>
      <c r="T32" s="18">
        <f t="shared" si="5"/>
        <v>900000</v>
      </c>
      <c r="U32" s="18">
        <v>500000</v>
      </c>
      <c r="V32" s="18">
        <v>200000</v>
      </c>
      <c r="W32" s="3">
        <v>262200</v>
      </c>
      <c r="X32" s="18">
        <v>2850000</v>
      </c>
      <c r="Y32" s="18">
        <v>380000</v>
      </c>
      <c r="Z32" s="18">
        <v>0</v>
      </c>
      <c r="AA32" s="5">
        <v>1531.23</v>
      </c>
      <c r="AB32" s="20">
        <f t="shared" si="1"/>
        <v>24254945.169</v>
      </c>
      <c r="AC32" s="20">
        <v>233333.33332999999</v>
      </c>
      <c r="AD32" s="20">
        <v>350000</v>
      </c>
      <c r="AE32" s="20">
        <v>140000</v>
      </c>
      <c r="AF32" s="20">
        <v>153201</v>
      </c>
      <c r="AG32" s="20">
        <v>6500000</v>
      </c>
      <c r="AH32" s="3">
        <f t="shared" si="2"/>
        <v>10868734.33333</v>
      </c>
      <c r="AI32" s="20">
        <f t="shared" si="3"/>
        <v>13386210.83567</v>
      </c>
      <c r="AJ32" s="5">
        <f t="shared" si="4"/>
        <v>55.189614911101849</v>
      </c>
    </row>
    <row r="33" spans="1:36" x14ac:dyDescent="0.2">
      <c r="A33" s="17" t="s">
        <v>571</v>
      </c>
      <c r="B33">
        <v>2025</v>
      </c>
      <c r="C33" s="18">
        <v>840.2</v>
      </c>
      <c r="D33" s="20">
        <f t="shared" si="0"/>
        <v>1287102.3800000001</v>
      </c>
      <c r="E33" s="18">
        <f t="shared" si="6"/>
        <v>200000</v>
      </c>
      <c r="F33" s="18">
        <v>200000</v>
      </c>
      <c r="G33" s="18">
        <v>22914000</v>
      </c>
      <c r="H33" s="18">
        <v>200000</v>
      </c>
      <c r="I33" s="18">
        <v>0</v>
      </c>
      <c r="J33" s="18">
        <v>0</v>
      </c>
      <c r="K33" s="18">
        <v>200000</v>
      </c>
      <c r="L33" s="18">
        <v>0</v>
      </c>
      <c r="M33" s="18">
        <v>0</v>
      </c>
      <c r="N33" s="18"/>
      <c r="O33" s="18">
        <v>0</v>
      </c>
      <c r="P33" s="18">
        <v>0</v>
      </c>
      <c r="Q33" s="18">
        <v>0</v>
      </c>
      <c r="R33" s="18">
        <v>0</v>
      </c>
      <c r="S33" s="18">
        <v>380000</v>
      </c>
      <c r="T33" s="18">
        <f t="shared" si="5"/>
        <v>580000</v>
      </c>
      <c r="U33" s="18">
        <v>200000</v>
      </c>
      <c r="V33" s="18">
        <v>0</v>
      </c>
      <c r="W33" s="3">
        <v>262200</v>
      </c>
      <c r="X33" s="18">
        <v>2850000</v>
      </c>
      <c r="Y33" s="18">
        <v>380000</v>
      </c>
      <c r="Z33" s="18">
        <v>0</v>
      </c>
      <c r="AA33" s="5">
        <v>1531.9</v>
      </c>
      <c r="AB33" s="20">
        <f t="shared" si="1"/>
        <v>26161942.579999998</v>
      </c>
      <c r="AC33" s="20">
        <v>233333.33332999999</v>
      </c>
      <c r="AD33" s="20">
        <v>300000</v>
      </c>
      <c r="AE33" s="20">
        <v>140000</v>
      </c>
      <c r="AF33" s="20">
        <v>153201</v>
      </c>
      <c r="AG33" s="20">
        <v>450000</v>
      </c>
      <c r="AH33" s="3">
        <f t="shared" si="2"/>
        <v>4768734.3333299998</v>
      </c>
      <c r="AI33" s="20">
        <f t="shared" si="3"/>
        <v>21393208.24667</v>
      </c>
      <c r="AJ33" s="5">
        <f t="shared" si="4"/>
        <v>81.772246771248746</v>
      </c>
    </row>
    <row r="34" spans="1:36" x14ac:dyDescent="0.2">
      <c r="A34" s="17" t="s">
        <v>572</v>
      </c>
      <c r="B34">
        <v>2025</v>
      </c>
      <c r="C34" s="18">
        <v>650.20000000000005</v>
      </c>
      <c r="D34" s="20">
        <f t="shared" si="0"/>
        <v>977068.54400000011</v>
      </c>
      <c r="E34" s="18">
        <f t="shared" si="6"/>
        <v>280000</v>
      </c>
      <c r="F34" s="18">
        <v>1974000</v>
      </c>
      <c r="G34" s="18">
        <v>21901000</v>
      </c>
      <c r="H34" s="18">
        <v>1974000</v>
      </c>
      <c r="I34" s="18">
        <v>0</v>
      </c>
      <c r="J34" s="18">
        <v>0</v>
      </c>
      <c r="K34" s="18">
        <v>2280000</v>
      </c>
      <c r="L34" s="18">
        <v>1900000</v>
      </c>
      <c r="M34" s="18">
        <v>0</v>
      </c>
      <c r="N34" s="18"/>
      <c r="O34" s="18">
        <v>0</v>
      </c>
      <c r="P34" s="18">
        <v>0</v>
      </c>
      <c r="Q34" s="18">
        <v>0</v>
      </c>
      <c r="R34" s="18">
        <v>0</v>
      </c>
      <c r="S34" s="18">
        <v>0</v>
      </c>
      <c r="T34" s="18">
        <f t="shared" si="5"/>
        <v>4180000</v>
      </c>
      <c r="U34" s="18">
        <v>100000</v>
      </c>
      <c r="V34" s="18">
        <v>180000</v>
      </c>
      <c r="W34" s="3">
        <v>262200</v>
      </c>
      <c r="X34" s="18">
        <v>2750000</v>
      </c>
      <c r="Y34" s="18">
        <v>380000</v>
      </c>
      <c r="Z34" s="18">
        <v>0</v>
      </c>
      <c r="AA34" s="5">
        <v>1502.72</v>
      </c>
      <c r="AB34" s="20">
        <f t="shared" si="1"/>
        <v>35746718.744000003</v>
      </c>
      <c r="AC34" s="20">
        <v>233333.33332999999</v>
      </c>
      <c r="AD34" s="20">
        <v>250000</v>
      </c>
      <c r="AE34" s="20">
        <v>140000</v>
      </c>
      <c r="AF34" s="20">
        <v>153201</v>
      </c>
      <c r="AG34" s="20">
        <v>500000</v>
      </c>
      <c r="AH34" s="3">
        <f t="shared" si="2"/>
        <v>4668734.3333299998</v>
      </c>
      <c r="AI34" s="20">
        <f t="shared" si="3"/>
        <v>31077984.410670005</v>
      </c>
      <c r="AJ34" s="5">
        <f t="shared" si="4"/>
        <v>86.939404517754141</v>
      </c>
    </row>
    <row r="35" spans="1:36" x14ac:dyDescent="0.2">
      <c r="A35" s="17" t="s">
        <v>573</v>
      </c>
      <c r="B35">
        <v>2025</v>
      </c>
      <c r="C35" s="18">
        <v>400.2</v>
      </c>
      <c r="D35" s="20">
        <f t="shared" si="0"/>
        <v>585764.73600000003</v>
      </c>
      <c r="E35" s="18">
        <f t="shared" si="6"/>
        <v>500000</v>
      </c>
      <c r="F35" s="18">
        <v>800000</v>
      </c>
      <c r="G35" s="18">
        <v>27025970</v>
      </c>
      <c r="H35" s="18">
        <v>800000</v>
      </c>
      <c r="I35" s="18">
        <v>13283266.720000001</v>
      </c>
      <c r="J35" s="18">
        <v>140000</v>
      </c>
      <c r="K35" s="18">
        <v>800000</v>
      </c>
      <c r="L35" s="18">
        <v>0</v>
      </c>
      <c r="M35" s="18">
        <v>0</v>
      </c>
      <c r="N35" s="18"/>
      <c r="O35" s="18">
        <v>0</v>
      </c>
      <c r="P35" s="18">
        <v>0</v>
      </c>
      <c r="Q35" s="18">
        <v>0</v>
      </c>
      <c r="R35" s="18">
        <v>0</v>
      </c>
      <c r="S35" s="18">
        <v>0</v>
      </c>
      <c r="T35" s="18">
        <f t="shared" si="5"/>
        <v>940000</v>
      </c>
      <c r="U35" s="18">
        <v>300000</v>
      </c>
      <c r="V35" s="18">
        <v>200000</v>
      </c>
      <c r="W35" s="3">
        <v>262200</v>
      </c>
      <c r="X35" s="18">
        <v>2750000</v>
      </c>
      <c r="Y35" s="18">
        <v>380000</v>
      </c>
      <c r="Z35" s="18">
        <v>0</v>
      </c>
      <c r="AA35" s="5">
        <v>1463.68</v>
      </c>
      <c r="AB35" s="20">
        <f t="shared" si="1"/>
        <v>45375401.656000003</v>
      </c>
      <c r="AC35" s="20">
        <v>233333.33332999999</v>
      </c>
      <c r="AD35" s="20">
        <v>250000</v>
      </c>
      <c r="AE35" s="20">
        <v>140000</v>
      </c>
      <c r="AF35" s="20">
        <v>153201</v>
      </c>
      <c r="AG35" s="20">
        <v>125000</v>
      </c>
      <c r="AH35" s="3">
        <f t="shared" si="2"/>
        <v>4293734.3333299998</v>
      </c>
      <c r="AI35" s="20">
        <f t="shared" si="3"/>
        <v>41081667.322670005</v>
      </c>
      <c r="AJ35" s="5">
        <f t="shared" si="4"/>
        <v>90.537308372757437</v>
      </c>
    </row>
    <row r="36" spans="1:36" x14ac:dyDescent="0.2">
      <c r="A36" s="17" t="s">
        <v>574</v>
      </c>
      <c r="B36">
        <v>2025</v>
      </c>
      <c r="C36" s="18">
        <v>1001.2</v>
      </c>
      <c r="D36" s="20">
        <f t="shared" si="0"/>
        <v>1447394.7920000001</v>
      </c>
      <c r="E36" s="18">
        <f t="shared" si="6"/>
        <v>0</v>
      </c>
      <c r="F36" s="18">
        <v>1984000</v>
      </c>
      <c r="G36" s="18">
        <v>25444207.280000001</v>
      </c>
      <c r="H36" s="18">
        <v>1984000</v>
      </c>
      <c r="I36" s="18">
        <f>787278.09+920351.21</f>
        <v>1707629.2999999998</v>
      </c>
      <c r="J36" s="18">
        <v>0</v>
      </c>
      <c r="K36" s="18">
        <v>0</v>
      </c>
      <c r="L36" s="18">
        <v>0</v>
      </c>
      <c r="M36" s="18">
        <v>0</v>
      </c>
      <c r="N36" s="18"/>
      <c r="O36" s="18">
        <v>0</v>
      </c>
      <c r="P36" s="18">
        <v>0</v>
      </c>
      <c r="Q36" s="18">
        <v>0</v>
      </c>
      <c r="R36" s="18">
        <v>0</v>
      </c>
      <c r="S36" s="18">
        <v>0</v>
      </c>
      <c r="T36" s="18">
        <f t="shared" si="5"/>
        <v>0</v>
      </c>
      <c r="U36" s="18">
        <v>0</v>
      </c>
      <c r="V36" s="18">
        <v>0</v>
      </c>
      <c r="W36" s="3">
        <v>262200</v>
      </c>
      <c r="X36" s="18">
        <v>2750000</v>
      </c>
      <c r="Y36" s="18">
        <v>380000</v>
      </c>
      <c r="Z36" s="18">
        <v>450000</v>
      </c>
      <c r="AA36" s="5">
        <v>1445.66</v>
      </c>
      <c r="AB36" s="20">
        <f t="shared" si="1"/>
        <v>32568232.572000001</v>
      </c>
      <c r="AC36" s="20">
        <v>233333.33332999999</v>
      </c>
      <c r="AD36" s="20">
        <v>300000</v>
      </c>
      <c r="AE36" s="20">
        <v>100000</v>
      </c>
      <c r="AF36" s="20">
        <v>153201</v>
      </c>
      <c r="AG36" s="20">
        <v>250000</v>
      </c>
      <c r="AH36" s="3">
        <f t="shared" si="2"/>
        <v>4878734.3333299998</v>
      </c>
      <c r="AI36" s="20">
        <f t="shared" si="3"/>
        <v>27689498.238669999</v>
      </c>
      <c r="AJ36" s="5">
        <f t="shared" si="4"/>
        <v>85.019959795041473</v>
      </c>
    </row>
    <row r="37" spans="1:36" x14ac:dyDescent="0.2">
      <c r="A37" s="17" t="s">
        <v>575</v>
      </c>
      <c r="B37">
        <v>2025</v>
      </c>
      <c r="C37" s="18">
        <v>750.2</v>
      </c>
      <c r="D37" s="20">
        <f t="shared" si="0"/>
        <v>1088967.814</v>
      </c>
      <c r="E37" s="18">
        <f t="shared" si="6"/>
        <v>900000</v>
      </c>
      <c r="F37" s="18">
        <v>2400000</v>
      </c>
      <c r="G37" s="18">
        <v>24480000</v>
      </c>
      <c r="H37" s="18">
        <v>2400000</v>
      </c>
      <c r="I37" s="18">
        <f>1041663.44+1339747.6</f>
        <v>2381411.04</v>
      </c>
      <c r="J37" s="18">
        <v>0</v>
      </c>
      <c r="K37" s="18">
        <v>0</v>
      </c>
      <c r="L37" s="18">
        <v>0</v>
      </c>
      <c r="M37" s="18">
        <v>0</v>
      </c>
      <c r="N37" s="18"/>
      <c r="O37" s="18">
        <v>0</v>
      </c>
      <c r="P37" s="18">
        <v>0</v>
      </c>
      <c r="Q37" s="18">
        <v>0</v>
      </c>
      <c r="R37" s="18">
        <v>0</v>
      </c>
      <c r="S37" s="18">
        <v>0</v>
      </c>
      <c r="T37" s="18">
        <f t="shared" si="5"/>
        <v>0</v>
      </c>
      <c r="U37" s="18">
        <v>500000</v>
      </c>
      <c r="V37" s="18">
        <v>400000</v>
      </c>
      <c r="W37" s="3">
        <v>262200</v>
      </c>
      <c r="X37" s="18">
        <v>2750000</v>
      </c>
      <c r="Y37" s="18">
        <v>380000</v>
      </c>
      <c r="Z37" s="18">
        <v>250000</v>
      </c>
      <c r="AA37" s="5">
        <v>1451.57</v>
      </c>
      <c r="AB37" s="20">
        <f t="shared" si="1"/>
        <v>34551129.053999998</v>
      </c>
      <c r="AC37" s="20">
        <v>233333.33332999999</v>
      </c>
      <c r="AD37" s="20">
        <v>300000</v>
      </c>
      <c r="AE37" s="20">
        <v>250000</v>
      </c>
      <c r="AF37" s="20">
        <v>153201</v>
      </c>
      <c r="AG37" s="20">
        <v>150000</v>
      </c>
      <c r="AH37" s="3">
        <f t="shared" si="2"/>
        <v>4728734.3333299998</v>
      </c>
      <c r="AI37" s="20">
        <f t="shared" si="3"/>
        <v>29822394.72067</v>
      </c>
      <c r="AJ37" s="5">
        <f t="shared" si="4"/>
        <v>86.313806631501237</v>
      </c>
    </row>
    <row r="38" spans="1:36" x14ac:dyDescent="0.2">
      <c r="A38" s="17" t="s">
        <v>564</v>
      </c>
      <c r="B38">
        <v>2026</v>
      </c>
      <c r="C38" s="18">
        <v>400</v>
      </c>
      <c r="D38" s="20">
        <f t="shared" si="0"/>
        <v>567988</v>
      </c>
      <c r="E38" s="18">
        <f t="shared" si="6"/>
        <v>100000</v>
      </c>
      <c r="F38" s="18">
        <v>400000</v>
      </c>
      <c r="G38" s="18">
        <v>17964000</v>
      </c>
      <c r="H38" s="18">
        <v>400000</v>
      </c>
      <c r="I38" s="18">
        <f>1199373.64+1518449.17+3718171.52</f>
        <v>6435994.3300000001</v>
      </c>
      <c r="J38" s="18">
        <v>0</v>
      </c>
      <c r="K38" s="18">
        <v>0</v>
      </c>
      <c r="L38" s="18">
        <v>0</v>
      </c>
      <c r="M38" s="18">
        <v>0</v>
      </c>
      <c r="N38" s="18"/>
      <c r="O38" s="18">
        <v>0</v>
      </c>
      <c r="P38" s="18">
        <v>0</v>
      </c>
      <c r="Q38" s="18">
        <v>0</v>
      </c>
      <c r="R38" s="18">
        <v>0</v>
      </c>
      <c r="S38" s="18">
        <v>0</v>
      </c>
      <c r="T38" s="18">
        <f t="shared" si="5"/>
        <v>0</v>
      </c>
      <c r="U38" s="18">
        <v>100000</v>
      </c>
      <c r="V38" s="18">
        <v>0</v>
      </c>
      <c r="W38" s="3">
        <v>262200</v>
      </c>
      <c r="X38" s="18">
        <v>3360000</v>
      </c>
      <c r="Y38" s="18">
        <v>380000</v>
      </c>
      <c r="AA38" s="5">
        <v>1419.97</v>
      </c>
      <c r="AB38" s="20">
        <f t="shared" si="1"/>
        <v>25968382.329999998</v>
      </c>
      <c r="AC38" s="20">
        <v>233333.33332999999</v>
      </c>
      <c r="AD38" s="20">
        <v>250000</v>
      </c>
      <c r="AE38" s="20">
        <v>200000</v>
      </c>
      <c r="AF38" s="20">
        <v>153201</v>
      </c>
      <c r="AG38" s="20">
        <v>350000</v>
      </c>
      <c r="AH38" s="3">
        <f t="shared" si="2"/>
        <v>5188734.3333299998</v>
      </c>
      <c r="AI38" s="20">
        <f t="shared" si="3"/>
        <v>20779647.99667</v>
      </c>
      <c r="AJ38" s="5">
        <f t="shared" si="4"/>
        <v>80.019031345915963</v>
      </c>
    </row>
    <row r="39" spans="1:36" x14ac:dyDescent="0.2">
      <c r="A39" s="17" t="s">
        <v>565</v>
      </c>
      <c r="B39">
        <v>2026</v>
      </c>
      <c r="C39" s="18">
        <v>0</v>
      </c>
      <c r="D39" s="20">
        <f t="shared" si="0"/>
        <v>0</v>
      </c>
      <c r="E39" s="18">
        <f t="shared" si="6"/>
        <v>860000</v>
      </c>
      <c r="F39" s="18">
        <v>592000</v>
      </c>
      <c r="G39" s="18">
        <v>17679000</v>
      </c>
      <c r="H39" s="18">
        <v>592000</v>
      </c>
      <c r="I39" s="18">
        <f>3153480.76+4629233.58</f>
        <v>7782714.3399999999</v>
      </c>
      <c r="J39" s="18">
        <v>0</v>
      </c>
      <c r="K39" s="18">
        <v>0</v>
      </c>
      <c r="L39" s="18">
        <v>0</v>
      </c>
      <c r="M39" s="18">
        <v>0</v>
      </c>
      <c r="N39" s="18"/>
      <c r="O39" s="18">
        <v>0</v>
      </c>
      <c r="P39" s="18">
        <v>0</v>
      </c>
      <c r="Q39" s="18">
        <v>0</v>
      </c>
      <c r="R39" s="18">
        <v>0</v>
      </c>
      <c r="S39" s="18">
        <v>0</v>
      </c>
      <c r="T39" s="18">
        <f t="shared" si="5"/>
        <v>0</v>
      </c>
      <c r="U39" s="18">
        <v>860000</v>
      </c>
      <c r="V39" s="18">
        <v>0</v>
      </c>
      <c r="W39" s="3">
        <v>262200</v>
      </c>
      <c r="X39" s="18">
        <v>3360000</v>
      </c>
      <c r="Y39" s="18">
        <v>380000</v>
      </c>
      <c r="AA39" s="5">
        <v>1357.51</v>
      </c>
      <c r="AB39" s="20">
        <f t="shared" si="1"/>
        <v>28365714.34</v>
      </c>
      <c r="AC39" s="20">
        <v>233333.33332999999</v>
      </c>
      <c r="AD39" s="20">
        <v>350000</v>
      </c>
      <c r="AE39" s="20">
        <v>200000</v>
      </c>
      <c r="AF39" s="20">
        <v>153201</v>
      </c>
      <c r="AG39" s="20">
        <v>120000</v>
      </c>
      <c r="AH39" s="3">
        <f t="shared" si="2"/>
        <v>5058734.3333299998</v>
      </c>
      <c r="AI39" s="20">
        <f t="shared" si="3"/>
        <v>23306980.006669998</v>
      </c>
      <c r="AJ39" s="5">
        <f t="shared" si="4"/>
        <v>82.16602524902251</v>
      </c>
    </row>
    <row r="40" spans="1:36" x14ac:dyDescent="0.2">
      <c r="A40" s="17" t="s">
        <v>566</v>
      </c>
      <c r="B40">
        <v>2026</v>
      </c>
      <c r="C40" s="18">
        <v>0</v>
      </c>
      <c r="D40" s="20">
        <f t="shared" si="0"/>
        <v>0</v>
      </c>
      <c r="E40" s="18">
        <f t="shared" si="6"/>
        <v>300000</v>
      </c>
      <c r="F40" s="18">
        <v>2200000</v>
      </c>
      <c r="G40" s="18">
        <v>18891000</v>
      </c>
      <c r="H40" s="18">
        <v>2200000</v>
      </c>
      <c r="I40" s="18">
        <f>4683940.31+3655538.82</f>
        <v>8339479.129999999</v>
      </c>
      <c r="J40" s="18">
        <v>0</v>
      </c>
      <c r="K40" s="18">
        <v>0</v>
      </c>
      <c r="L40" s="18">
        <v>0</v>
      </c>
      <c r="M40" s="18">
        <v>0</v>
      </c>
      <c r="N40" s="18"/>
      <c r="O40" s="18">
        <v>0</v>
      </c>
      <c r="P40" s="18">
        <v>0</v>
      </c>
      <c r="Q40" s="18">
        <v>0</v>
      </c>
      <c r="R40" s="18">
        <v>0</v>
      </c>
      <c r="S40" s="18">
        <v>0</v>
      </c>
      <c r="T40" s="18">
        <f t="shared" si="5"/>
        <v>0</v>
      </c>
      <c r="U40" s="18">
        <v>300000</v>
      </c>
      <c r="V40" s="18">
        <v>0</v>
      </c>
      <c r="W40" s="3">
        <v>262200</v>
      </c>
      <c r="X40" s="18">
        <v>3360000</v>
      </c>
      <c r="Y40" s="18">
        <v>380000</v>
      </c>
      <c r="AA40" s="5">
        <v>1378.4</v>
      </c>
      <c r="AB40" s="20">
        <f t="shared" si="1"/>
        <v>32230479.129999999</v>
      </c>
      <c r="AC40" s="20">
        <v>233333.33332999999</v>
      </c>
      <c r="AD40" s="20">
        <v>220000</v>
      </c>
      <c r="AE40" s="20">
        <v>250000</v>
      </c>
      <c r="AF40" s="20">
        <v>153201</v>
      </c>
      <c r="AG40" s="20">
        <v>0</v>
      </c>
      <c r="AH40" s="3">
        <f t="shared" si="2"/>
        <v>4858734.3333299998</v>
      </c>
      <c r="AI40" s="20">
        <f t="shared" si="3"/>
        <v>27371744.796669997</v>
      </c>
      <c r="AJ40" s="5">
        <f t="shared" si="4"/>
        <v>84.925032253685885</v>
      </c>
    </row>
    <row r="41" spans="1:36" x14ac:dyDescent="0.2">
      <c r="A41" s="17" t="s">
        <v>567</v>
      </c>
      <c r="B41">
        <v>2026</v>
      </c>
      <c r="C41" s="18">
        <v>1884.24</v>
      </c>
      <c r="D41" s="20">
        <f t="shared" si="0"/>
        <v>2565486.9720000001</v>
      </c>
      <c r="E41" s="18">
        <f t="shared" si="6"/>
        <v>0</v>
      </c>
      <c r="F41" s="18">
        <v>2190000</v>
      </c>
      <c r="G41" s="18">
        <v>11385000</v>
      </c>
      <c r="H41" s="18">
        <v>2190000</v>
      </c>
      <c r="I41" s="18">
        <f>3675130.57+1494132.28</f>
        <v>5169262.8499999996</v>
      </c>
      <c r="J41" s="18">
        <v>0</v>
      </c>
      <c r="K41" s="18">
        <v>0</v>
      </c>
      <c r="L41" s="18">
        <v>0</v>
      </c>
      <c r="M41" s="18">
        <v>0</v>
      </c>
      <c r="N41" s="18"/>
      <c r="O41" s="18">
        <v>0</v>
      </c>
      <c r="P41" s="18">
        <v>0</v>
      </c>
      <c r="Q41" s="18">
        <v>0</v>
      </c>
      <c r="R41" s="18">
        <v>0</v>
      </c>
      <c r="S41" s="18">
        <v>0</v>
      </c>
      <c r="T41" s="18">
        <f t="shared" si="5"/>
        <v>0</v>
      </c>
      <c r="U41" s="18">
        <v>0</v>
      </c>
      <c r="V41" s="18">
        <v>0</v>
      </c>
      <c r="W41" s="3">
        <v>262200</v>
      </c>
      <c r="X41" s="18">
        <v>3360000</v>
      </c>
      <c r="Y41" s="18">
        <v>380000</v>
      </c>
      <c r="AA41" s="5">
        <v>1361.55</v>
      </c>
      <c r="AB41" s="20">
        <f t="shared" si="1"/>
        <v>23501634.061999999</v>
      </c>
      <c r="AC41" s="20">
        <v>233333.33332999999</v>
      </c>
      <c r="AD41" s="20">
        <v>250000</v>
      </c>
      <c r="AE41" s="20">
        <v>100000</v>
      </c>
      <c r="AF41" s="20">
        <v>153201</v>
      </c>
      <c r="AG41" s="20">
        <v>0</v>
      </c>
      <c r="AH41" s="3">
        <f t="shared" si="2"/>
        <v>4738734.3333299998</v>
      </c>
      <c r="AI41" s="20">
        <f t="shared" si="3"/>
        <v>18762899.728670001</v>
      </c>
      <c r="AJ41" s="5">
        <f t="shared" si="4"/>
        <v>79.836575104400509</v>
      </c>
    </row>
    <row r="42" spans="1:36" x14ac:dyDescent="0.2">
      <c r="A42" s="17"/>
    </row>
    <row r="43" spans="1:36" x14ac:dyDescent="0.2">
      <c r="A43" s="17"/>
    </row>
    <row r="44" spans="1:36" x14ac:dyDescent="0.2">
      <c r="A44" s="17"/>
    </row>
    <row r="45" spans="1:36" x14ac:dyDescent="0.2">
      <c r="A45" s="17"/>
    </row>
    <row r="46" spans="1:36" x14ac:dyDescent="0.2">
      <c r="A46" s="17"/>
    </row>
    <row r="47" spans="1:36" x14ac:dyDescent="0.2">
      <c r="A47" s="17"/>
    </row>
    <row r="48" spans="1:36" x14ac:dyDescent="0.2">
      <c r="A48" s="17"/>
    </row>
    <row r="49" spans="1:1" x14ac:dyDescent="0.2">
      <c r="A49" s="17"/>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A3B9-5F26-B04F-AE80-C2EC3604A4C4}">
  <dimension ref="A1:T1217"/>
  <sheetViews>
    <sheetView workbookViewId="0">
      <pane ySplit="1" topLeftCell="A1170" activePane="bottomLeft" state="frozen"/>
      <selection pane="bottomLeft" activeCell="F2" sqref="F2"/>
    </sheetView>
  </sheetViews>
  <sheetFormatPr baseColWidth="10" defaultRowHeight="16" x14ac:dyDescent="0.2"/>
  <cols>
    <col min="1" max="1" width="13.83203125" customWidth="1"/>
    <col min="8" max="8" width="14.6640625" customWidth="1"/>
    <col min="9" max="9" width="13.1640625" customWidth="1"/>
  </cols>
  <sheetData>
    <row r="1" spans="1:20" x14ac:dyDescent="0.2">
      <c r="A1" s="23" t="s">
        <v>590</v>
      </c>
      <c r="B1" s="24" t="s">
        <v>591</v>
      </c>
      <c r="C1" s="24" t="s">
        <v>592</v>
      </c>
      <c r="D1" s="24" t="s">
        <v>593</v>
      </c>
      <c r="E1" s="24" t="s">
        <v>594</v>
      </c>
      <c r="F1" s="23" t="s">
        <v>1228</v>
      </c>
      <c r="G1" s="23" t="s">
        <v>597</v>
      </c>
      <c r="H1" s="23" t="s">
        <v>596</v>
      </c>
      <c r="I1" s="23" t="s">
        <v>595</v>
      </c>
      <c r="J1" s="23" t="s">
        <v>585</v>
      </c>
      <c r="K1" s="23" t="s">
        <v>586</v>
      </c>
      <c r="L1" s="23" t="s">
        <v>587</v>
      </c>
      <c r="M1" s="23" t="s">
        <v>588</v>
      </c>
      <c r="N1" s="23" t="s">
        <v>589</v>
      </c>
      <c r="O1" s="23" t="s">
        <v>598</v>
      </c>
      <c r="P1" s="23" t="s">
        <v>599</v>
      </c>
      <c r="Q1" s="23" t="s">
        <v>600</v>
      </c>
      <c r="R1" s="23" t="s">
        <v>602</v>
      </c>
      <c r="S1" s="23" t="s">
        <v>601</v>
      </c>
      <c r="T1" s="23" t="s">
        <v>603</v>
      </c>
    </row>
    <row r="2" spans="1:20" x14ac:dyDescent="0.2">
      <c r="A2" s="22">
        <v>44927</v>
      </c>
      <c r="B2">
        <v>119237</v>
      </c>
      <c r="C2">
        <v>54458</v>
      </c>
      <c r="D2">
        <v>75227</v>
      </c>
      <c r="E2">
        <v>96</v>
      </c>
    </row>
    <row r="3" spans="1:20" x14ac:dyDescent="0.2">
      <c r="A3" s="22">
        <v>44928</v>
      </c>
      <c r="B3">
        <v>97083</v>
      </c>
      <c r="C3">
        <v>34029</v>
      </c>
      <c r="D3">
        <v>76889</v>
      </c>
      <c r="E3">
        <v>176</v>
      </c>
    </row>
    <row r="4" spans="1:20" x14ac:dyDescent="0.2">
      <c r="A4" s="22">
        <v>44929</v>
      </c>
      <c r="B4">
        <v>122126</v>
      </c>
      <c r="C4">
        <v>42951</v>
      </c>
      <c r="D4">
        <v>95617</v>
      </c>
      <c r="E4">
        <v>156</v>
      </c>
    </row>
    <row r="5" spans="1:20" x14ac:dyDescent="0.2">
      <c r="A5" s="22">
        <v>44930</v>
      </c>
      <c r="B5">
        <v>119225</v>
      </c>
      <c r="C5">
        <v>43931</v>
      </c>
      <c r="D5">
        <v>61586</v>
      </c>
      <c r="E5">
        <v>125</v>
      </c>
    </row>
    <row r="6" spans="1:20" x14ac:dyDescent="0.2">
      <c r="A6" s="22">
        <v>44931</v>
      </c>
      <c r="B6">
        <v>113702</v>
      </c>
      <c r="C6">
        <v>60067</v>
      </c>
      <c r="D6">
        <v>62695</v>
      </c>
      <c r="E6">
        <v>103</v>
      </c>
    </row>
    <row r="7" spans="1:20" x14ac:dyDescent="0.2">
      <c r="A7" s="22">
        <v>44932</v>
      </c>
      <c r="B7">
        <v>119042</v>
      </c>
      <c r="C7">
        <v>42950</v>
      </c>
      <c r="D7">
        <v>82284</v>
      </c>
      <c r="E7">
        <v>89</v>
      </c>
    </row>
    <row r="8" spans="1:20" x14ac:dyDescent="0.2">
      <c r="A8" s="22">
        <v>44933</v>
      </c>
      <c r="B8">
        <v>91556</v>
      </c>
      <c r="C8">
        <v>41846</v>
      </c>
      <c r="D8">
        <v>63752</v>
      </c>
      <c r="E8">
        <v>135</v>
      </c>
    </row>
    <row r="9" spans="1:20" x14ac:dyDescent="0.2">
      <c r="A9" s="22">
        <v>44934</v>
      </c>
      <c r="B9">
        <v>117497</v>
      </c>
      <c r="C9">
        <v>64360</v>
      </c>
      <c r="D9">
        <v>66556</v>
      </c>
      <c r="E9">
        <v>96</v>
      </c>
    </row>
    <row r="10" spans="1:20" x14ac:dyDescent="0.2">
      <c r="A10" s="22">
        <v>44935</v>
      </c>
      <c r="B10">
        <v>98363</v>
      </c>
      <c r="C10">
        <v>53053</v>
      </c>
      <c r="D10">
        <v>65260</v>
      </c>
      <c r="E10">
        <v>122</v>
      </c>
    </row>
    <row r="11" spans="1:20" x14ac:dyDescent="0.2">
      <c r="A11" s="22">
        <v>44936</v>
      </c>
      <c r="B11">
        <v>110622</v>
      </c>
      <c r="C11">
        <v>41308</v>
      </c>
      <c r="D11">
        <v>59475</v>
      </c>
      <c r="E11">
        <v>134</v>
      </c>
    </row>
    <row r="12" spans="1:20" x14ac:dyDescent="0.2">
      <c r="A12" s="22">
        <v>44937</v>
      </c>
      <c r="B12">
        <v>113561</v>
      </c>
      <c r="C12">
        <v>44175</v>
      </c>
      <c r="D12">
        <v>81771</v>
      </c>
      <c r="E12">
        <v>134</v>
      </c>
    </row>
    <row r="13" spans="1:20" x14ac:dyDescent="0.2">
      <c r="A13" s="22">
        <v>44938</v>
      </c>
      <c r="B13">
        <v>102597</v>
      </c>
      <c r="C13">
        <v>41195</v>
      </c>
      <c r="D13">
        <v>52583</v>
      </c>
      <c r="E13">
        <v>179</v>
      </c>
    </row>
    <row r="14" spans="1:20" x14ac:dyDescent="0.2">
      <c r="A14" s="22">
        <v>44939</v>
      </c>
      <c r="B14">
        <v>103309</v>
      </c>
      <c r="C14">
        <v>47249</v>
      </c>
      <c r="D14">
        <v>79437</v>
      </c>
      <c r="E14">
        <v>69</v>
      </c>
    </row>
    <row r="15" spans="1:20" x14ac:dyDescent="0.2">
      <c r="A15" s="22">
        <v>44940</v>
      </c>
      <c r="B15">
        <v>96642</v>
      </c>
      <c r="C15">
        <v>49834</v>
      </c>
      <c r="D15">
        <v>60298</v>
      </c>
      <c r="E15">
        <v>78</v>
      </c>
    </row>
    <row r="16" spans="1:20" x14ac:dyDescent="0.2">
      <c r="A16" s="22">
        <v>44941</v>
      </c>
      <c r="B16">
        <v>98657</v>
      </c>
      <c r="C16">
        <v>42410</v>
      </c>
      <c r="D16">
        <v>53372</v>
      </c>
      <c r="E16">
        <v>140</v>
      </c>
    </row>
    <row r="17" spans="1:5" x14ac:dyDescent="0.2">
      <c r="A17" s="22">
        <v>44942</v>
      </c>
      <c r="B17">
        <v>121557</v>
      </c>
      <c r="C17">
        <v>64254</v>
      </c>
      <c r="D17">
        <v>90821</v>
      </c>
      <c r="E17">
        <v>173</v>
      </c>
    </row>
    <row r="18" spans="1:5" x14ac:dyDescent="0.2">
      <c r="A18" s="22">
        <v>44943</v>
      </c>
      <c r="B18">
        <v>102216</v>
      </c>
      <c r="C18">
        <v>53024</v>
      </c>
      <c r="D18">
        <v>62752</v>
      </c>
      <c r="E18">
        <v>149</v>
      </c>
    </row>
    <row r="19" spans="1:5" x14ac:dyDescent="0.2">
      <c r="A19" s="22">
        <v>44944</v>
      </c>
      <c r="B19">
        <v>125834</v>
      </c>
      <c r="C19">
        <v>45150</v>
      </c>
      <c r="D19">
        <v>86852</v>
      </c>
      <c r="E19">
        <v>170</v>
      </c>
    </row>
    <row r="20" spans="1:5" x14ac:dyDescent="0.2">
      <c r="A20" s="22">
        <v>44945</v>
      </c>
      <c r="B20">
        <v>104336</v>
      </c>
      <c r="C20">
        <v>47317</v>
      </c>
      <c r="D20">
        <v>78731</v>
      </c>
      <c r="E20">
        <v>105</v>
      </c>
    </row>
    <row r="21" spans="1:5" x14ac:dyDescent="0.2">
      <c r="A21" s="22">
        <v>44946</v>
      </c>
      <c r="B21">
        <v>115363</v>
      </c>
      <c r="C21">
        <v>54794</v>
      </c>
      <c r="D21">
        <v>70191</v>
      </c>
      <c r="E21">
        <v>116</v>
      </c>
    </row>
    <row r="22" spans="1:5" x14ac:dyDescent="0.2">
      <c r="A22" s="22">
        <v>44947</v>
      </c>
      <c r="B22">
        <v>93265</v>
      </c>
      <c r="C22">
        <v>34086</v>
      </c>
      <c r="D22">
        <v>67769</v>
      </c>
      <c r="E22">
        <v>72</v>
      </c>
    </row>
    <row r="23" spans="1:5" x14ac:dyDescent="0.2">
      <c r="A23" s="22">
        <v>44948</v>
      </c>
      <c r="B23">
        <v>119508</v>
      </c>
      <c r="C23">
        <v>60015</v>
      </c>
      <c r="D23">
        <v>82269</v>
      </c>
      <c r="E23">
        <v>114</v>
      </c>
    </row>
    <row r="24" spans="1:5" x14ac:dyDescent="0.2">
      <c r="A24" s="22">
        <v>44949</v>
      </c>
      <c r="B24">
        <v>106943</v>
      </c>
      <c r="C24">
        <v>47411</v>
      </c>
      <c r="D24">
        <v>74235</v>
      </c>
      <c r="E24">
        <v>101</v>
      </c>
    </row>
    <row r="25" spans="1:5" x14ac:dyDescent="0.2">
      <c r="A25" s="22">
        <v>44950</v>
      </c>
      <c r="B25">
        <v>111877</v>
      </c>
      <c r="C25">
        <v>44145</v>
      </c>
      <c r="D25">
        <v>66623</v>
      </c>
      <c r="E25">
        <v>134</v>
      </c>
    </row>
    <row r="26" spans="1:5" x14ac:dyDescent="0.2">
      <c r="A26" s="22">
        <v>44951</v>
      </c>
      <c r="B26">
        <v>121008</v>
      </c>
      <c r="C26">
        <v>46235</v>
      </c>
      <c r="D26">
        <v>91271</v>
      </c>
      <c r="E26">
        <v>93</v>
      </c>
    </row>
    <row r="27" spans="1:5" x14ac:dyDescent="0.2">
      <c r="A27" s="22">
        <v>44952</v>
      </c>
      <c r="B27">
        <v>110921</v>
      </c>
      <c r="C27">
        <v>42512</v>
      </c>
      <c r="D27">
        <v>63055</v>
      </c>
      <c r="E27">
        <v>170</v>
      </c>
    </row>
    <row r="28" spans="1:5" x14ac:dyDescent="0.2">
      <c r="A28" s="22">
        <v>44953</v>
      </c>
      <c r="B28">
        <v>122372</v>
      </c>
      <c r="C28">
        <v>52254</v>
      </c>
      <c r="D28">
        <v>96822</v>
      </c>
      <c r="E28">
        <v>127</v>
      </c>
    </row>
    <row r="29" spans="1:5" x14ac:dyDescent="0.2">
      <c r="A29" s="22">
        <v>44954</v>
      </c>
      <c r="B29">
        <v>122614</v>
      </c>
      <c r="C29">
        <v>65224</v>
      </c>
      <c r="D29">
        <v>81171</v>
      </c>
      <c r="E29">
        <v>177</v>
      </c>
    </row>
    <row r="30" spans="1:5" x14ac:dyDescent="0.2">
      <c r="A30" s="22">
        <v>44955</v>
      </c>
      <c r="B30">
        <v>94769</v>
      </c>
      <c r="C30">
        <v>34915</v>
      </c>
      <c r="D30">
        <v>63319</v>
      </c>
      <c r="E30">
        <v>60</v>
      </c>
    </row>
    <row r="31" spans="1:5" x14ac:dyDescent="0.2">
      <c r="A31" s="22">
        <v>44956</v>
      </c>
      <c r="B31">
        <v>109398</v>
      </c>
      <c r="C31">
        <v>44694</v>
      </c>
      <c r="D31">
        <v>81292</v>
      </c>
      <c r="E31">
        <v>75</v>
      </c>
    </row>
    <row r="32" spans="1:5" x14ac:dyDescent="0.2">
      <c r="A32" s="22">
        <v>44957</v>
      </c>
      <c r="B32">
        <v>121910</v>
      </c>
      <c r="C32">
        <v>56954</v>
      </c>
      <c r="D32">
        <v>65517</v>
      </c>
      <c r="E32">
        <v>112</v>
      </c>
    </row>
    <row r="33" spans="1:5" x14ac:dyDescent="0.2">
      <c r="A33" s="22">
        <v>44958</v>
      </c>
      <c r="B33">
        <v>113067</v>
      </c>
      <c r="C33">
        <v>54550</v>
      </c>
      <c r="D33">
        <v>66097</v>
      </c>
      <c r="E33">
        <v>159</v>
      </c>
    </row>
    <row r="34" spans="1:5" x14ac:dyDescent="0.2">
      <c r="A34" s="22">
        <v>44959</v>
      </c>
      <c r="B34">
        <v>97023</v>
      </c>
      <c r="C34">
        <v>52766</v>
      </c>
      <c r="D34">
        <v>58862</v>
      </c>
      <c r="E34">
        <v>139</v>
      </c>
    </row>
    <row r="35" spans="1:5" x14ac:dyDescent="0.2">
      <c r="A35" s="22">
        <v>44960</v>
      </c>
      <c r="B35">
        <v>119653</v>
      </c>
      <c r="C35">
        <v>60729</v>
      </c>
      <c r="D35">
        <v>87730</v>
      </c>
      <c r="E35">
        <v>172</v>
      </c>
    </row>
    <row r="36" spans="1:5" x14ac:dyDescent="0.2">
      <c r="A36" s="22">
        <v>44961</v>
      </c>
      <c r="B36">
        <v>129283</v>
      </c>
      <c r="C36">
        <v>58418</v>
      </c>
      <c r="D36">
        <v>90245</v>
      </c>
      <c r="E36">
        <v>82</v>
      </c>
    </row>
    <row r="37" spans="1:5" x14ac:dyDescent="0.2">
      <c r="A37" s="22">
        <v>44962</v>
      </c>
      <c r="B37">
        <v>105589</v>
      </c>
      <c r="C37">
        <v>54096</v>
      </c>
      <c r="D37">
        <v>58384</v>
      </c>
      <c r="E37">
        <v>99</v>
      </c>
    </row>
    <row r="38" spans="1:5" x14ac:dyDescent="0.2">
      <c r="A38" s="22">
        <v>44963</v>
      </c>
      <c r="B38">
        <v>130735</v>
      </c>
      <c r="C38">
        <v>70242</v>
      </c>
      <c r="D38">
        <v>95085</v>
      </c>
      <c r="E38">
        <v>88</v>
      </c>
    </row>
    <row r="39" spans="1:5" x14ac:dyDescent="0.2">
      <c r="A39" s="22">
        <v>44964</v>
      </c>
      <c r="B39">
        <v>118146</v>
      </c>
      <c r="C39">
        <v>45587</v>
      </c>
      <c r="D39">
        <v>88626</v>
      </c>
      <c r="E39">
        <v>83</v>
      </c>
    </row>
    <row r="40" spans="1:5" x14ac:dyDescent="0.2">
      <c r="A40" s="22">
        <v>44965</v>
      </c>
      <c r="B40">
        <v>105272</v>
      </c>
      <c r="C40">
        <v>40688</v>
      </c>
      <c r="D40">
        <v>73223</v>
      </c>
      <c r="E40">
        <v>141</v>
      </c>
    </row>
    <row r="41" spans="1:5" x14ac:dyDescent="0.2">
      <c r="A41" s="22">
        <v>44966</v>
      </c>
      <c r="B41">
        <v>130096</v>
      </c>
      <c r="C41">
        <v>57757</v>
      </c>
      <c r="D41">
        <v>70294</v>
      </c>
      <c r="E41">
        <v>62</v>
      </c>
    </row>
    <row r="42" spans="1:5" x14ac:dyDescent="0.2">
      <c r="A42" s="22">
        <v>44967</v>
      </c>
      <c r="B42">
        <v>103300</v>
      </c>
      <c r="C42">
        <v>38168</v>
      </c>
      <c r="D42">
        <v>56157</v>
      </c>
      <c r="E42">
        <v>122</v>
      </c>
    </row>
    <row r="43" spans="1:5" x14ac:dyDescent="0.2">
      <c r="A43" s="22">
        <v>44968</v>
      </c>
      <c r="B43">
        <v>117979</v>
      </c>
      <c r="C43">
        <v>46761</v>
      </c>
      <c r="D43">
        <v>80271</v>
      </c>
      <c r="E43">
        <v>179</v>
      </c>
    </row>
    <row r="44" spans="1:5" x14ac:dyDescent="0.2">
      <c r="A44" s="22">
        <v>44969</v>
      </c>
      <c r="B44">
        <v>107626</v>
      </c>
      <c r="C44">
        <v>50770</v>
      </c>
      <c r="D44">
        <v>82244</v>
      </c>
      <c r="E44">
        <v>136</v>
      </c>
    </row>
    <row r="45" spans="1:5" x14ac:dyDescent="0.2">
      <c r="A45" s="22">
        <v>44970</v>
      </c>
      <c r="B45">
        <v>90099</v>
      </c>
      <c r="C45">
        <v>34715</v>
      </c>
      <c r="D45">
        <v>45429</v>
      </c>
      <c r="E45">
        <v>151</v>
      </c>
    </row>
    <row r="46" spans="1:5" x14ac:dyDescent="0.2">
      <c r="A46" s="22">
        <v>44971</v>
      </c>
      <c r="B46">
        <v>122950</v>
      </c>
      <c r="C46">
        <v>54747</v>
      </c>
      <c r="D46">
        <v>86952</v>
      </c>
      <c r="E46">
        <v>95</v>
      </c>
    </row>
    <row r="47" spans="1:5" x14ac:dyDescent="0.2">
      <c r="A47" s="22">
        <v>44972</v>
      </c>
      <c r="B47">
        <v>98279</v>
      </c>
      <c r="C47">
        <v>53881</v>
      </c>
      <c r="D47">
        <v>65386</v>
      </c>
      <c r="E47">
        <v>137</v>
      </c>
    </row>
    <row r="48" spans="1:5" x14ac:dyDescent="0.2">
      <c r="A48" s="22">
        <v>44973</v>
      </c>
      <c r="B48">
        <v>103539</v>
      </c>
      <c r="C48">
        <v>39967</v>
      </c>
      <c r="D48">
        <v>54643</v>
      </c>
      <c r="E48">
        <v>98</v>
      </c>
    </row>
    <row r="49" spans="1:5" x14ac:dyDescent="0.2">
      <c r="A49" s="22">
        <v>44974</v>
      </c>
      <c r="B49">
        <v>128544</v>
      </c>
      <c r="C49">
        <v>63720</v>
      </c>
      <c r="D49">
        <v>102182</v>
      </c>
      <c r="E49">
        <v>114</v>
      </c>
    </row>
    <row r="50" spans="1:5" x14ac:dyDescent="0.2">
      <c r="A50" s="22">
        <v>44975</v>
      </c>
      <c r="B50">
        <v>124180</v>
      </c>
      <c r="C50">
        <v>59340</v>
      </c>
      <c r="D50">
        <v>87580</v>
      </c>
      <c r="E50">
        <v>151</v>
      </c>
    </row>
    <row r="51" spans="1:5" x14ac:dyDescent="0.2">
      <c r="A51" s="22">
        <v>44976</v>
      </c>
      <c r="B51">
        <v>121632</v>
      </c>
      <c r="C51">
        <v>49858</v>
      </c>
      <c r="D51">
        <v>79739</v>
      </c>
      <c r="E51">
        <v>105</v>
      </c>
    </row>
    <row r="52" spans="1:5" x14ac:dyDescent="0.2">
      <c r="A52" s="22">
        <v>44977</v>
      </c>
      <c r="B52">
        <v>114131</v>
      </c>
      <c r="C52">
        <v>57868</v>
      </c>
      <c r="D52">
        <v>75947</v>
      </c>
      <c r="E52">
        <v>105</v>
      </c>
    </row>
    <row r="53" spans="1:5" x14ac:dyDescent="0.2">
      <c r="A53" s="22">
        <v>44978</v>
      </c>
      <c r="B53">
        <v>92408</v>
      </c>
      <c r="C53">
        <v>44490</v>
      </c>
      <c r="D53">
        <v>73852</v>
      </c>
      <c r="E53">
        <v>99</v>
      </c>
    </row>
    <row r="54" spans="1:5" x14ac:dyDescent="0.2">
      <c r="A54" s="22">
        <v>44979</v>
      </c>
      <c r="B54">
        <v>131660</v>
      </c>
      <c r="C54">
        <v>51344</v>
      </c>
      <c r="D54">
        <v>70417</v>
      </c>
      <c r="E54">
        <v>101</v>
      </c>
    </row>
    <row r="55" spans="1:5" x14ac:dyDescent="0.2">
      <c r="A55" s="22">
        <v>44980</v>
      </c>
      <c r="B55">
        <v>103890</v>
      </c>
      <c r="C55">
        <v>44576</v>
      </c>
      <c r="D55">
        <v>71036</v>
      </c>
      <c r="E55">
        <v>156</v>
      </c>
    </row>
    <row r="56" spans="1:5" x14ac:dyDescent="0.2">
      <c r="A56" s="22">
        <v>44981</v>
      </c>
      <c r="B56">
        <v>115658</v>
      </c>
      <c r="C56">
        <v>45736</v>
      </c>
      <c r="D56">
        <v>79030</v>
      </c>
      <c r="E56">
        <v>142</v>
      </c>
    </row>
    <row r="57" spans="1:5" x14ac:dyDescent="0.2">
      <c r="A57" s="22">
        <v>44982</v>
      </c>
      <c r="B57">
        <v>108553</v>
      </c>
      <c r="C57">
        <v>53010</v>
      </c>
      <c r="D57">
        <v>62490</v>
      </c>
      <c r="E57">
        <v>136</v>
      </c>
    </row>
    <row r="58" spans="1:5" x14ac:dyDescent="0.2">
      <c r="A58" s="22">
        <v>44983</v>
      </c>
      <c r="B58">
        <v>102973</v>
      </c>
      <c r="C58">
        <v>40705</v>
      </c>
      <c r="D58">
        <v>76773</v>
      </c>
      <c r="E58">
        <v>107</v>
      </c>
    </row>
    <row r="59" spans="1:5" x14ac:dyDescent="0.2">
      <c r="A59" s="22">
        <v>44984</v>
      </c>
      <c r="B59">
        <v>93311</v>
      </c>
      <c r="C59">
        <v>35847</v>
      </c>
      <c r="D59">
        <v>52725</v>
      </c>
      <c r="E59">
        <v>132</v>
      </c>
    </row>
    <row r="60" spans="1:5" x14ac:dyDescent="0.2">
      <c r="A60" s="22">
        <v>44985</v>
      </c>
      <c r="B60">
        <v>123550</v>
      </c>
      <c r="C60">
        <v>55437</v>
      </c>
      <c r="D60">
        <v>81521</v>
      </c>
      <c r="E60">
        <v>156</v>
      </c>
    </row>
    <row r="61" spans="1:5" x14ac:dyDescent="0.2">
      <c r="A61" s="22">
        <v>44986</v>
      </c>
      <c r="B61">
        <v>97150</v>
      </c>
      <c r="C61">
        <v>42405</v>
      </c>
      <c r="D61">
        <v>60024</v>
      </c>
      <c r="E61">
        <v>124</v>
      </c>
    </row>
    <row r="62" spans="1:5" x14ac:dyDescent="0.2">
      <c r="A62" s="22">
        <v>44987</v>
      </c>
      <c r="B62">
        <v>101410</v>
      </c>
      <c r="C62">
        <v>41433</v>
      </c>
      <c r="D62">
        <v>53924</v>
      </c>
      <c r="E62">
        <v>104</v>
      </c>
    </row>
    <row r="63" spans="1:5" x14ac:dyDescent="0.2">
      <c r="A63" s="22">
        <v>44988</v>
      </c>
      <c r="B63">
        <v>120276</v>
      </c>
      <c r="C63">
        <v>65769</v>
      </c>
      <c r="D63">
        <v>66667</v>
      </c>
      <c r="E63">
        <v>137</v>
      </c>
    </row>
    <row r="64" spans="1:5" x14ac:dyDescent="0.2">
      <c r="A64" s="22">
        <v>44989</v>
      </c>
      <c r="B64">
        <v>94689</v>
      </c>
      <c r="C64">
        <v>42127</v>
      </c>
      <c r="D64">
        <v>55911</v>
      </c>
      <c r="E64">
        <v>95</v>
      </c>
    </row>
    <row r="65" spans="1:5" x14ac:dyDescent="0.2">
      <c r="A65" s="22">
        <v>44990</v>
      </c>
      <c r="B65">
        <v>114306</v>
      </c>
      <c r="C65">
        <v>41085</v>
      </c>
      <c r="D65">
        <v>69935</v>
      </c>
      <c r="E65">
        <v>113</v>
      </c>
    </row>
    <row r="66" spans="1:5" x14ac:dyDescent="0.2">
      <c r="A66" s="22">
        <v>44991</v>
      </c>
      <c r="B66">
        <v>125733</v>
      </c>
      <c r="C66">
        <v>54353</v>
      </c>
      <c r="D66">
        <v>91493</v>
      </c>
      <c r="E66">
        <v>62</v>
      </c>
    </row>
    <row r="67" spans="1:5" x14ac:dyDescent="0.2">
      <c r="A67" s="22">
        <v>44992</v>
      </c>
      <c r="B67">
        <v>123239</v>
      </c>
      <c r="C67">
        <v>62147</v>
      </c>
      <c r="D67">
        <v>88553</v>
      </c>
      <c r="E67">
        <v>157</v>
      </c>
    </row>
    <row r="68" spans="1:5" x14ac:dyDescent="0.2">
      <c r="A68" s="22">
        <v>44993</v>
      </c>
      <c r="B68">
        <v>105347</v>
      </c>
      <c r="C68">
        <v>55799</v>
      </c>
      <c r="D68">
        <v>71017</v>
      </c>
      <c r="E68">
        <v>166</v>
      </c>
    </row>
    <row r="69" spans="1:5" x14ac:dyDescent="0.2">
      <c r="A69" s="22">
        <v>44994</v>
      </c>
      <c r="B69">
        <v>107572</v>
      </c>
      <c r="C69">
        <v>56193</v>
      </c>
      <c r="D69">
        <v>78218</v>
      </c>
      <c r="E69">
        <v>88</v>
      </c>
    </row>
    <row r="70" spans="1:5" x14ac:dyDescent="0.2">
      <c r="A70" s="22">
        <v>44995</v>
      </c>
      <c r="B70">
        <v>119147</v>
      </c>
      <c r="C70">
        <v>44561</v>
      </c>
      <c r="D70">
        <v>78133</v>
      </c>
      <c r="E70">
        <v>78</v>
      </c>
    </row>
    <row r="71" spans="1:5" x14ac:dyDescent="0.2">
      <c r="A71" s="22">
        <v>44996</v>
      </c>
      <c r="B71">
        <v>96746</v>
      </c>
      <c r="C71">
        <v>44724</v>
      </c>
      <c r="D71">
        <v>59589</v>
      </c>
      <c r="E71">
        <v>100</v>
      </c>
    </row>
    <row r="72" spans="1:5" x14ac:dyDescent="0.2">
      <c r="A72" s="22">
        <v>44997</v>
      </c>
      <c r="B72">
        <v>118264</v>
      </c>
      <c r="C72">
        <v>49324</v>
      </c>
      <c r="D72">
        <v>76529</v>
      </c>
      <c r="E72">
        <v>88</v>
      </c>
    </row>
    <row r="73" spans="1:5" x14ac:dyDescent="0.2">
      <c r="A73" s="22">
        <v>44998</v>
      </c>
      <c r="B73">
        <v>120357</v>
      </c>
      <c r="C73">
        <v>52677</v>
      </c>
      <c r="D73">
        <v>71932</v>
      </c>
      <c r="E73">
        <v>161</v>
      </c>
    </row>
    <row r="74" spans="1:5" x14ac:dyDescent="0.2">
      <c r="A74" s="22">
        <v>44999</v>
      </c>
      <c r="B74">
        <v>93769</v>
      </c>
      <c r="C74">
        <v>34929</v>
      </c>
      <c r="D74">
        <v>46906</v>
      </c>
      <c r="E74">
        <v>171</v>
      </c>
    </row>
    <row r="75" spans="1:5" x14ac:dyDescent="0.2">
      <c r="A75" s="22">
        <v>45000</v>
      </c>
      <c r="B75">
        <v>129872</v>
      </c>
      <c r="C75">
        <v>58786</v>
      </c>
      <c r="D75">
        <v>75150</v>
      </c>
      <c r="E75">
        <v>142</v>
      </c>
    </row>
    <row r="76" spans="1:5" x14ac:dyDescent="0.2">
      <c r="A76" s="22">
        <v>45001</v>
      </c>
      <c r="B76">
        <v>108041</v>
      </c>
      <c r="C76">
        <v>54309</v>
      </c>
      <c r="D76">
        <v>75716</v>
      </c>
      <c r="E76">
        <v>90</v>
      </c>
    </row>
    <row r="77" spans="1:5" x14ac:dyDescent="0.2">
      <c r="A77" s="22">
        <v>45002</v>
      </c>
      <c r="B77">
        <v>107192</v>
      </c>
      <c r="C77">
        <v>58232</v>
      </c>
      <c r="D77">
        <v>67833</v>
      </c>
      <c r="E77">
        <v>117</v>
      </c>
    </row>
    <row r="78" spans="1:5" x14ac:dyDescent="0.2">
      <c r="A78" s="22">
        <v>45003</v>
      </c>
      <c r="B78">
        <v>90350</v>
      </c>
      <c r="C78">
        <v>33678</v>
      </c>
      <c r="D78">
        <v>59502</v>
      </c>
      <c r="E78">
        <v>66</v>
      </c>
    </row>
    <row r="79" spans="1:5" x14ac:dyDescent="0.2">
      <c r="A79" s="22">
        <v>45004</v>
      </c>
      <c r="B79">
        <v>116471</v>
      </c>
      <c r="C79">
        <v>42260</v>
      </c>
      <c r="D79">
        <v>75370</v>
      </c>
      <c r="E79">
        <v>144</v>
      </c>
    </row>
    <row r="80" spans="1:5" x14ac:dyDescent="0.2">
      <c r="A80" s="22">
        <v>45005</v>
      </c>
      <c r="B80">
        <v>101024</v>
      </c>
      <c r="C80">
        <v>41697</v>
      </c>
      <c r="D80">
        <v>67803</v>
      </c>
      <c r="E80">
        <v>100</v>
      </c>
    </row>
    <row r="81" spans="1:5" x14ac:dyDescent="0.2">
      <c r="A81" s="22">
        <v>45006</v>
      </c>
      <c r="B81">
        <v>118350</v>
      </c>
      <c r="C81">
        <v>57651</v>
      </c>
      <c r="D81">
        <v>78171</v>
      </c>
      <c r="E81">
        <v>101</v>
      </c>
    </row>
    <row r="82" spans="1:5" x14ac:dyDescent="0.2">
      <c r="A82" s="22">
        <v>45007</v>
      </c>
      <c r="B82">
        <v>102728</v>
      </c>
      <c r="C82">
        <v>47963</v>
      </c>
      <c r="D82">
        <v>80612</v>
      </c>
      <c r="E82">
        <v>81</v>
      </c>
    </row>
    <row r="83" spans="1:5" x14ac:dyDescent="0.2">
      <c r="A83" s="22">
        <v>45008</v>
      </c>
      <c r="B83">
        <v>125151</v>
      </c>
      <c r="C83">
        <v>54063</v>
      </c>
      <c r="D83">
        <v>94402</v>
      </c>
      <c r="E83">
        <v>70</v>
      </c>
    </row>
    <row r="84" spans="1:5" x14ac:dyDescent="0.2">
      <c r="A84" s="22">
        <v>45009</v>
      </c>
      <c r="B84">
        <v>127637</v>
      </c>
      <c r="C84">
        <v>45457</v>
      </c>
      <c r="D84">
        <v>67575</v>
      </c>
      <c r="E84">
        <v>61</v>
      </c>
    </row>
    <row r="85" spans="1:5" x14ac:dyDescent="0.2">
      <c r="A85" s="22">
        <v>45010</v>
      </c>
      <c r="B85">
        <v>107813</v>
      </c>
      <c r="C85">
        <v>47537</v>
      </c>
      <c r="D85">
        <v>85850</v>
      </c>
      <c r="E85">
        <v>125</v>
      </c>
    </row>
    <row r="86" spans="1:5" x14ac:dyDescent="0.2">
      <c r="A86" s="22">
        <v>45011</v>
      </c>
      <c r="B86">
        <v>122905</v>
      </c>
      <c r="C86">
        <v>57296</v>
      </c>
      <c r="D86">
        <v>85636</v>
      </c>
      <c r="E86">
        <v>157</v>
      </c>
    </row>
    <row r="87" spans="1:5" x14ac:dyDescent="0.2">
      <c r="A87" s="22">
        <v>45012</v>
      </c>
      <c r="B87">
        <v>120225</v>
      </c>
      <c r="C87">
        <v>47266</v>
      </c>
      <c r="D87">
        <v>92964</v>
      </c>
      <c r="E87">
        <v>61</v>
      </c>
    </row>
    <row r="88" spans="1:5" x14ac:dyDescent="0.2">
      <c r="A88" s="22">
        <v>45013</v>
      </c>
      <c r="B88">
        <v>116870</v>
      </c>
      <c r="C88">
        <v>52203</v>
      </c>
      <c r="D88">
        <v>88122</v>
      </c>
      <c r="E88">
        <v>169</v>
      </c>
    </row>
    <row r="89" spans="1:5" x14ac:dyDescent="0.2">
      <c r="A89" s="22">
        <v>45014</v>
      </c>
      <c r="B89">
        <v>92317</v>
      </c>
      <c r="C89">
        <v>50135</v>
      </c>
      <c r="D89">
        <v>60928</v>
      </c>
      <c r="E89">
        <v>60</v>
      </c>
    </row>
    <row r="90" spans="1:5" x14ac:dyDescent="0.2">
      <c r="A90" s="22">
        <v>45015</v>
      </c>
      <c r="B90">
        <v>123246</v>
      </c>
      <c r="C90">
        <v>56463</v>
      </c>
      <c r="D90">
        <v>70854</v>
      </c>
      <c r="E90">
        <v>99</v>
      </c>
    </row>
    <row r="91" spans="1:5" x14ac:dyDescent="0.2">
      <c r="A91" s="22">
        <v>45016</v>
      </c>
      <c r="B91">
        <v>104505</v>
      </c>
      <c r="C91">
        <v>54071</v>
      </c>
      <c r="D91">
        <v>79860</v>
      </c>
      <c r="E91">
        <v>64</v>
      </c>
    </row>
    <row r="92" spans="1:5" x14ac:dyDescent="0.2">
      <c r="A92" s="22">
        <v>45017</v>
      </c>
      <c r="B92">
        <v>127149</v>
      </c>
      <c r="C92">
        <v>60305</v>
      </c>
      <c r="D92">
        <v>99165</v>
      </c>
      <c r="E92">
        <v>70</v>
      </c>
    </row>
    <row r="93" spans="1:5" x14ac:dyDescent="0.2">
      <c r="A93" s="22">
        <v>45018</v>
      </c>
      <c r="B93">
        <v>131174</v>
      </c>
      <c r="C93">
        <v>67637</v>
      </c>
      <c r="D93">
        <v>73538</v>
      </c>
      <c r="E93">
        <v>170</v>
      </c>
    </row>
    <row r="94" spans="1:5" x14ac:dyDescent="0.2">
      <c r="A94" s="22">
        <v>45019</v>
      </c>
      <c r="B94">
        <v>121737</v>
      </c>
      <c r="C94">
        <v>45110</v>
      </c>
      <c r="D94">
        <v>83055</v>
      </c>
      <c r="E94">
        <v>102</v>
      </c>
    </row>
    <row r="95" spans="1:5" x14ac:dyDescent="0.2">
      <c r="A95" s="22">
        <v>45020</v>
      </c>
      <c r="B95">
        <v>122666</v>
      </c>
      <c r="C95">
        <v>65017</v>
      </c>
      <c r="D95">
        <v>68976</v>
      </c>
      <c r="E95">
        <v>89</v>
      </c>
    </row>
    <row r="96" spans="1:5" x14ac:dyDescent="0.2">
      <c r="A96" s="22">
        <v>45021</v>
      </c>
      <c r="B96">
        <v>98873</v>
      </c>
      <c r="C96">
        <v>53101</v>
      </c>
      <c r="D96">
        <v>76332</v>
      </c>
      <c r="E96">
        <v>170</v>
      </c>
    </row>
    <row r="97" spans="1:5" x14ac:dyDescent="0.2">
      <c r="A97" s="22">
        <v>45022</v>
      </c>
      <c r="B97">
        <v>103298</v>
      </c>
      <c r="C97">
        <v>39845</v>
      </c>
      <c r="D97">
        <v>68644</v>
      </c>
      <c r="E97">
        <v>150</v>
      </c>
    </row>
    <row r="98" spans="1:5" x14ac:dyDescent="0.2">
      <c r="A98" s="22">
        <v>45023</v>
      </c>
      <c r="B98">
        <v>93575</v>
      </c>
      <c r="C98">
        <v>32939</v>
      </c>
      <c r="D98">
        <v>58045</v>
      </c>
      <c r="E98">
        <v>97</v>
      </c>
    </row>
    <row r="99" spans="1:5" x14ac:dyDescent="0.2">
      <c r="A99" s="22">
        <v>45024</v>
      </c>
      <c r="B99">
        <v>93576</v>
      </c>
      <c r="C99">
        <v>36573</v>
      </c>
      <c r="D99">
        <v>55599</v>
      </c>
      <c r="E99">
        <v>120</v>
      </c>
    </row>
    <row r="100" spans="1:5" x14ac:dyDescent="0.2">
      <c r="A100" s="22">
        <v>45025</v>
      </c>
      <c r="B100">
        <v>128107</v>
      </c>
      <c r="C100">
        <v>47302</v>
      </c>
      <c r="D100">
        <v>93851</v>
      </c>
      <c r="E100">
        <v>158</v>
      </c>
    </row>
    <row r="101" spans="1:5" x14ac:dyDescent="0.2">
      <c r="A101" s="22">
        <v>45026</v>
      </c>
      <c r="B101">
        <v>110487</v>
      </c>
      <c r="C101">
        <v>59359</v>
      </c>
      <c r="D101">
        <v>82962</v>
      </c>
      <c r="E101">
        <v>129</v>
      </c>
    </row>
    <row r="102" spans="1:5" x14ac:dyDescent="0.2">
      <c r="A102" s="22">
        <v>45027</v>
      </c>
      <c r="B102">
        <v>90718</v>
      </c>
      <c r="C102">
        <v>38681</v>
      </c>
      <c r="D102">
        <v>70930</v>
      </c>
      <c r="E102">
        <v>153</v>
      </c>
    </row>
    <row r="103" spans="1:5" x14ac:dyDescent="0.2">
      <c r="A103" s="22">
        <v>45028</v>
      </c>
      <c r="B103">
        <v>121390</v>
      </c>
      <c r="C103">
        <v>52399</v>
      </c>
      <c r="D103">
        <v>94830</v>
      </c>
      <c r="E103">
        <v>144</v>
      </c>
    </row>
    <row r="104" spans="1:5" x14ac:dyDescent="0.2">
      <c r="A104" s="22">
        <v>45029</v>
      </c>
      <c r="B104">
        <v>131748</v>
      </c>
      <c r="C104">
        <v>48021</v>
      </c>
      <c r="D104">
        <v>94798</v>
      </c>
      <c r="E104">
        <v>72</v>
      </c>
    </row>
    <row r="105" spans="1:5" x14ac:dyDescent="0.2">
      <c r="A105" s="22">
        <v>45030</v>
      </c>
      <c r="B105">
        <v>123663</v>
      </c>
      <c r="C105">
        <v>61352</v>
      </c>
      <c r="D105">
        <v>84777</v>
      </c>
      <c r="E105">
        <v>164</v>
      </c>
    </row>
    <row r="106" spans="1:5" x14ac:dyDescent="0.2">
      <c r="A106" s="22">
        <v>45031</v>
      </c>
      <c r="B106">
        <v>98031</v>
      </c>
      <c r="C106">
        <v>44843</v>
      </c>
      <c r="D106">
        <v>61870</v>
      </c>
      <c r="E106">
        <v>153</v>
      </c>
    </row>
    <row r="107" spans="1:5" x14ac:dyDescent="0.2">
      <c r="A107" s="22">
        <v>45032</v>
      </c>
      <c r="B107">
        <v>90251</v>
      </c>
      <c r="C107">
        <v>44507</v>
      </c>
      <c r="D107">
        <v>51408</v>
      </c>
      <c r="E107">
        <v>119</v>
      </c>
    </row>
    <row r="108" spans="1:5" x14ac:dyDescent="0.2">
      <c r="A108" s="22">
        <v>45033</v>
      </c>
      <c r="B108">
        <v>108930</v>
      </c>
      <c r="C108">
        <v>47935</v>
      </c>
      <c r="D108">
        <v>68355</v>
      </c>
      <c r="E108">
        <v>60</v>
      </c>
    </row>
    <row r="109" spans="1:5" x14ac:dyDescent="0.2">
      <c r="A109" s="22">
        <v>45034</v>
      </c>
      <c r="B109">
        <v>128306</v>
      </c>
      <c r="C109">
        <v>64375</v>
      </c>
      <c r="D109">
        <v>92666</v>
      </c>
      <c r="E109">
        <v>151</v>
      </c>
    </row>
    <row r="110" spans="1:5" x14ac:dyDescent="0.2">
      <c r="A110" s="22">
        <v>45035</v>
      </c>
      <c r="B110">
        <v>94369</v>
      </c>
      <c r="C110">
        <v>39474</v>
      </c>
      <c r="D110">
        <v>57665</v>
      </c>
      <c r="E110">
        <v>140</v>
      </c>
    </row>
    <row r="111" spans="1:5" x14ac:dyDescent="0.2">
      <c r="A111" s="22">
        <v>45036</v>
      </c>
      <c r="B111">
        <v>101058</v>
      </c>
      <c r="C111">
        <v>37193</v>
      </c>
      <c r="D111">
        <v>59494</v>
      </c>
      <c r="E111">
        <v>129</v>
      </c>
    </row>
    <row r="112" spans="1:5" x14ac:dyDescent="0.2">
      <c r="A112" s="22">
        <v>45037</v>
      </c>
      <c r="B112">
        <v>122032</v>
      </c>
      <c r="C112">
        <v>57827</v>
      </c>
      <c r="D112">
        <v>81874</v>
      </c>
      <c r="E112">
        <v>72</v>
      </c>
    </row>
    <row r="113" spans="1:5" x14ac:dyDescent="0.2">
      <c r="A113" s="22">
        <v>45038</v>
      </c>
      <c r="B113">
        <v>115583</v>
      </c>
      <c r="C113">
        <v>57905</v>
      </c>
      <c r="D113">
        <v>59601</v>
      </c>
      <c r="E113">
        <v>79</v>
      </c>
    </row>
    <row r="114" spans="1:5" x14ac:dyDescent="0.2">
      <c r="A114" s="22">
        <v>45039</v>
      </c>
      <c r="B114">
        <v>91595</v>
      </c>
      <c r="C114">
        <v>33738</v>
      </c>
      <c r="D114">
        <v>65474</v>
      </c>
      <c r="E114">
        <v>137</v>
      </c>
    </row>
    <row r="115" spans="1:5" x14ac:dyDescent="0.2">
      <c r="A115" s="22">
        <v>45040</v>
      </c>
      <c r="B115">
        <v>94958</v>
      </c>
      <c r="C115">
        <v>38599</v>
      </c>
      <c r="D115">
        <v>53814</v>
      </c>
      <c r="E115">
        <v>80</v>
      </c>
    </row>
    <row r="116" spans="1:5" x14ac:dyDescent="0.2">
      <c r="A116" s="22">
        <v>45041</v>
      </c>
      <c r="B116">
        <v>94908</v>
      </c>
      <c r="C116">
        <v>50579</v>
      </c>
      <c r="D116">
        <v>49921</v>
      </c>
      <c r="E116">
        <v>141</v>
      </c>
    </row>
    <row r="117" spans="1:5" x14ac:dyDescent="0.2">
      <c r="A117" s="22">
        <v>45042</v>
      </c>
      <c r="B117">
        <v>129370</v>
      </c>
      <c r="C117">
        <v>70116</v>
      </c>
      <c r="D117">
        <v>79388</v>
      </c>
      <c r="E117">
        <v>146</v>
      </c>
    </row>
    <row r="118" spans="1:5" x14ac:dyDescent="0.2">
      <c r="A118" s="22">
        <v>45043</v>
      </c>
      <c r="B118">
        <v>91005</v>
      </c>
      <c r="C118">
        <v>35158</v>
      </c>
      <c r="D118">
        <v>68486</v>
      </c>
      <c r="E118">
        <v>79</v>
      </c>
    </row>
    <row r="119" spans="1:5" x14ac:dyDescent="0.2">
      <c r="A119" s="22">
        <v>45044</v>
      </c>
      <c r="B119">
        <v>125005</v>
      </c>
      <c r="C119">
        <v>46133</v>
      </c>
      <c r="D119">
        <v>79916</v>
      </c>
      <c r="E119">
        <v>103</v>
      </c>
    </row>
    <row r="120" spans="1:5" x14ac:dyDescent="0.2">
      <c r="A120" s="22">
        <v>45045</v>
      </c>
      <c r="B120">
        <v>94084</v>
      </c>
      <c r="C120">
        <v>46231</v>
      </c>
      <c r="D120">
        <v>47861</v>
      </c>
      <c r="E120">
        <v>124</v>
      </c>
    </row>
    <row r="121" spans="1:5" x14ac:dyDescent="0.2">
      <c r="A121" s="22">
        <v>45046</v>
      </c>
      <c r="B121">
        <v>95495</v>
      </c>
      <c r="C121">
        <v>41033</v>
      </c>
      <c r="D121">
        <v>55848</v>
      </c>
      <c r="E121">
        <v>66</v>
      </c>
    </row>
    <row r="122" spans="1:5" x14ac:dyDescent="0.2">
      <c r="A122" s="22">
        <v>45047</v>
      </c>
      <c r="B122">
        <v>111481</v>
      </c>
      <c r="C122">
        <v>47730</v>
      </c>
      <c r="D122">
        <v>58499</v>
      </c>
      <c r="E122">
        <v>151</v>
      </c>
    </row>
    <row r="123" spans="1:5" x14ac:dyDescent="0.2">
      <c r="A123" s="22">
        <v>45048</v>
      </c>
      <c r="B123">
        <v>92658</v>
      </c>
      <c r="C123">
        <v>41844</v>
      </c>
      <c r="D123">
        <v>68035</v>
      </c>
      <c r="E123">
        <v>174</v>
      </c>
    </row>
    <row r="124" spans="1:5" x14ac:dyDescent="0.2">
      <c r="A124" s="22">
        <v>45049</v>
      </c>
      <c r="B124">
        <v>127089</v>
      </c>
      <c r="C124">
        <v>62948</v>
      </c>
      <c r="D124">
        <v>88926</v>
      </c>
      <c r="E124">
        <v>113</v>
      </c>
    </row>
    <row r="125" spans="1:5" x14ac:dyDescent="0.2">
      <c r="A125" s="22">
        <v>45050</v>
      </c>
      <c r="B125">
        <v>117257</v>
      </c>
      <c r="C125">
        <v>49527</v>
      </c>
      <c r="D125">
        <v>83580</v>
      </c>
      <c r="E125">
        <v>113</v>
      </c>
    </row>
    <row r="126" spans="1:5" x14ac:dyDescent="0.2">
      <c r="A126" s="22">
        <v>45051</v>
      </c>
      <c r="B126">
        <v>109585</v>
      </c>
      <c r="C126">
        <v>47661</v>
      </c>
      <c r="D126">
        <v>84242</v>
      </c>
      <c r="E126">
        <v>146</v>
      </c>
    </row>
    <row r="127" spans="1:5" x14ac:dyDescent="0.2">
      <c r="A127" s="22">
        <v>45052</v>
      </c>
      <c r="B127">
        <v>92956</v>
      </c>
      <c r="C127">
        <v>45802</v>
      </c>
      <c r="D127">
        <v>73083</v>
      </c>
      <c r="E127">
        <v>96</v>
      </c>
    </row>
    <row r="128" spans="1:5" x14ac:dyDescent="0.2">
      <c r="A128" s="22">
        <v>45053</v>
      </c>
      <c r="B128">
        <v>93217</v>
      </c>
      <c r="C128">
        <v>33029</v>
      </c>
      <c r="D128">
        <v>67743</v>
      </c>
      <c r="E128">
        <v>103</v>
      </c>
    </row>
    <row r="129" spans="1:5" x14ac:dyDescent="0.2">
      <c r="A129" s="22">
        <v>45054</v>
      </c>
      <c r="B129">
        <v>125410</v>
      </c>
      <c r="C129">
        <v>60322</v>
      </c>
      <c r="D129">
        <v>85475</v>
      </c>
      <c r="E129">
        <v>122</v>
      </c>
    </row>
    <row r="130" spans="1:5" x14ac:dyDescent="0.2">
      <c r="A130" s="22">
        <v>45055</v>
      </c>
      <c r="B130">
        <v>95414</v>
      </c>
      <c r="C130">
        <v>48999</v>
      </c>
      <c r="D130">
        <v>47913</v>
      </c>
      <c r="E130">
        <v>85</v>
      </c>
    </row>
    <row r="131" spans="1:5" x14ac:dyDescent="0.2">
      <c r="A131" s="22">
        <v>45056</v>
      </c>
      <c r="B131">
        <v>102818</v>
      </c>
      <c r="C131">
        <v>46685</v>
      </c>
      <c r="D131">
        <v>70082</v>
      </c>
      <c r="E131">
        <v>155</v>
      </c>
    </row>
    <row r="132" spans="1:5" x14ac:dyDescent="0.2">
      <c r="A132" s="22">
        <v>45057</v>
      </c>
      <c r="B132">
        <v>100321</v>
      </c>
      <c r="C132">
        <v>42081</v>
      </c>
      <c r="D132">
        <v>69831</v>
      </c>
      <c r="E132">
        <v>148</v>
      </c>
    </row>
    <row r="133" spans="1:5" x14ac:dyDescent="0.2">
      <c r="A133" s="22">
        <v>45058</v>
      </c>
      <c r="B133">
        <v>92478</v>
      </c>
      <c r="C133">
        <v>39699</v>
      </c>
      <c r="D133">
        <v>58898</v>
      </c>
      <c r="E133">
        <v>118</v>
      </c>
    </row>
    <row r="134" spans="1:5" x14ac:dyDescent="0.2">
      <c r="A134" s="22">
        <v>45059</v>
      </c>
      <c r="B134">
        <v>101984</v>
      </c>
      <c r="C134">
        <v>48886</v>
      </c>
      <c r="D134">
        <v>66607</v>
      </c>
      <c r="E134">
        <v>149</v>
      </c>
    </row>
    <row r="135" spans="1:5" x14ac:dyDescent="0.2">
      <c r="A135" s="22">
        <v>45060</v>
      </c>
      <c r="B135">
        <v>95785</v>
      </c>
      <c r="C135">
        <v>42894</v>
      </c>
      <c r="D135">
        <v>66209</v>
      </c>
      <c r="E135">
        <v>119</v>
      </c>
    </row>
    <row r="136" spans="1:5" x14ac:dyDescent="0.2">
      <c r="A136" s="22">
        <v>45061</v>
      </c>
      <c r="B136">
        <v>116391</v>
      </c>
      <c r="C136">
        <v>44458</v>
      </c>
      <c r="D136">
        <v>77662</v>
      </c>
      <c r="E136">
        <v>99</v>
      </c>
    </row>
    <row r="137" spans="1:5" x14ac:dyDescent="0.2">
      <c r="A137" s="22">
        <v>45062</v>
      </c>
      <c r="B137">
        <v>111522</v>
      </c>
      <c r="C137">
        <v>40033</v>
      </c>
      <c r="D137">
        <v>66824</v>
      </c>
      <c r="E137">
        <v>106</v>
      </c>
    </row>
    <row r="138" spans="1:5" x14ac:dyDescent="0.2">
      <c r="A138" s="22">
        <v>45063</v>
      </c>
      <c r="B138">
        <v>131383</v>
      </c>
      <c r="C138">
        <v>71843</v>
      </c>
      <c r="D138">
        <v>95931</v>
      </c>
      <c r="E138">
        <v>143</v>
      </c>
    </row>
    <row r="139" spans="1:5" x14ac:dyDescent="0.2">
      <c r="A139" s="22">
        <v>45064</v>
      </c>
      <c r="B139">
        <v>90192</v>
      </c>
      <c r="C139">
        <v>40759</v>
      </c>
      <c r="D139">
        <v>53858</v>
      </c>
      <c r="E139">
        <v>145</v>
      </c>
    </row>
    <row r="140" spans="1:5" x14ac:dyDescent="0.2">
      <c r="A140" s="22">
        <v>45065</v>
      </c>
      <c r="B140">
        <v>114206</v>
      </c>
      <c r="C140">
        <v>59220</v>
      </c>
      <c r="D140">
        <v>87688</v>
      </c>
      <c r="E140">
        <v>142</v>
      </c>
    </row>
    <row r="141" spans="1:5" x14ac:dyDescent="0.2">
      <c r="A141" s="22">
        <v>45066</v>
      </c>
      <c r="B141">
        <v>94545</v>
      </c>
      <c r="C141">
        <v>42443</v>
      </c>
      <c r="D141">
        <v>62894</v>
      </c>
      <c r="E141">
        <v>132</v>
      </c>
    </row>
    <row r="142" spans="1:5" x14ac:dyDescent="0.2">
      <c r="A142" s="22">
        <v>45067</v>
      </c>
      <c r="B142">
        <v>123211</v>
      </c>
      <c r="C142">
        <v>52461</v>
      </c>
      <c r="D142">
        <v>62665</v>
      </c>
      <c r="E142">
        <v>127</v>
      </c>
    </row>
    <row r="143" spans="1:5" x14ac:dyDescent="0.2">
      <c r="A143" s="22">
        <v>45068</v>
      </c>
      <c r="B143">
        <v>94479</v>
      </c>
      <c r="C143">
        <v>36085</v>
      </c>
      <c r="D143">
        <v>59233</v>
      </c>
      <c r="E143">
        <v>148</v>
      </c>
    </row>
    <row r="144" spans="1:5" x14ac:dyDescent="0.2">
      <c r="A144" s="22">
        <v>45069</v>
      </c>
      <c r="B144">
        <v>129316</v>
      </c>
      <c r="C144">
        <v>48710</v>
      </c>
      <c r="D144">
        <v>85982</v>
      </c>
      <c r="E144">
        <v>132</v>
      </c>
    </row>
    <row r="145" spans="1:5" x14ac:dyDescent="0.2">
      <c r="A145" s="22">
        <v>45070</v>
      </c>
      <c r="B145">
        <v>129633</v>
      </c>
      <c r="C145">
        <v>67115</v>
      </c>
      <c r="D145">
        <v>86815</v>
      </c>
      <c r="E145">
        <v>148</v>
      </c>
    </row>
    <row r="146" spans="1:5" x14ac:dyDescent="0.2">
      <c r="A146" s="22">
        <v>45071</v>
      </c>
      <c r="B146">
        <v>106430</v>
      </c>
      <c r="C146">
        <v>42207</v>
      </c>
      <c r="D146">
        <v>59427</v>
      </c>
      <c r="E146">
        <v>157</v>
      </c>
    </row>
    <row r="147" spans="1:5" x14ac:dyDescent="0.2">
      <c r="A147" s="22">
        <v>45072</v>
      </c>
      <c r="B147">
        <v>96444</v>
      </c>
      <c r="C147">
        <v>42800</v>
      </c>
      <c r="D147">
        <v>67587</v>
      </c>
      <c r="E147">
        <v>170</v>
      </c>
    </row>
    <row r="148" spans="1:5" x14ac:dyDescent="0.2">
      <c r="A148" s="22">
        <v>45073</v>
      </c>
      <c r="B148">
        <v>111650</v>
      </c>
      <c r="C148">
        <v>57265</v>
      </c>
      <c r="D148">
        <v>82878</v>
      </c>
      <c r="E148">
        <v>116</v>
      </c>
    </row>
    <row r="149" spans="1:5" x14ac:dyDescent="0.2">
      <c r="A149" s="22">
        <v>45074</v>
      </c>
      <c r="B149">
        <v>126338</v>
      </c>
      <c r="C149">
        <v>57715</v>
      </c>
      <c r="D149">
        <v>82997</v>
      </c>
      <c r="E149">
        <v>91</v>
      </c>
    </row>
    <row r="150" spans="1:5" x14ac:dyDescent="0.2">
      <c r="A150" s="22">
        <v>45075</v>
      </c>
      <c r="B150">
        <v>94450</v>
      </c>
      <c r="C150">
        <v>51460</v>
      </c>
      <c r="D150">
        <v>52086</v>
      </c>
      <c r="E150">
        <v>90</v>
      </c>
    </row>
    <row r="151" spans="1:5" x14ac:dyDescent="0.2">
      <c r="A151" s="22">
        <v>45076</v>
      </c>
      <c r="B151">
        <v>118338</v>
      </c>
      <c r="C151">
        <v>41746</v>
      </c>
      <c r="D151">
        <v>64333</v>
      </c>
      <c r="E151">
        <v>173</v>
      </c>
    </row>
    <row r="152" spans="1:5" x14ac:dyDescent="0.2">
      <c r="A152" s="22">
        <v>45077</v>
      </c>
      <c r="B152">
        <v>100315</v>
      </c>
      <c r="C152">
        <v>42725</v>
      </c>
      <c r="D152">
        <v>66797</v>
      </c>
      <c r="E152">
        <v>145</v>
      </c>
    </row>
    <row r="153" spans="1:5" x14ac:dyDescent="0.2">
      <c r="A153" s="22">
        <v>45078</v>
      </c>
      <c r="B153">
        <v>107964</v>
      </c>
      <c r="C153">
        <v>46222</v>
      </c>
      <c r="D153">
        <v>81951</v>
      </c>
      <c r="E153">
        <v>102</v>
      </c>
    </row>
    <row r="154" spans="1:5" x14ac:dyDescent="0.2">
      <c r="A154" s="22">
        <v>45079</v>
      </c>
      <c r="B154">
        <v>111009</v>
      </c>
      <c r="C154">
        <v>60154</v>
      </c>
      <c r="D154">
        <v>80359</v>
      </c>
      <c r="E154">
        <v>121</v>
      </c>
    </row>
    <row r="155" spans="1:5" x14ac:dyDescent="0.2">
      <c r="A155" s="22">
        <v>45080</v>
      </c>
      <c r="B155">
        <v>122917</v>
      </c>
      <c r="C155">
        <v>57167</v>
      </c>
      <c r="D155">
        <v>84720</v>
      </c>
      <c r="E155">
        <v>132</v>
      </c>
    </row>
    <row r="156" spans="1:5" x14ac:dyDescent="0.2">
      <c r="A156" s="22">
        <v>45081</v>
      </c>
      <c r="B156">
        <v>123093</v>
      </c>
      <c r="C156">
        <v>46969</v>
      </c>
      <c r="D156">
        <v>79637</v>
      </c>
      <c r="E156">
        <v>168</v>
      </c>
    </row>
    <row r="157" spans="1:5" x14ac:dyDescent="0.2">
      <c r="A157" s="22">
        <v>45082</v>
      </c>
      <c r="B157">
        <v>124509</v>
      </c>
      <c r="C157">
        <v>47943</v>
      </c>
      <c r="D157">
        <v>77901</v>
      </c>
      <c r="E157">
        <v>117</v>
      </c>
    </row>
    <row r="158" spans="1:5" x14ac:dyDescent="0.2">
      <c r="A158" s="22">
        <v>45083</v>
      </c>
      <c r="B158">
        <v>94229</v>
      </c>
      <c r="C158">
        <v>36500</v>
      </c>
      <c r="D158">
        <v>65371</v>
      </c>
      <c r="E158">
        <v>154</v>
      </c>
    </row>
    <row r="159" spans="1:5" x14ac:dyDescent="0.2">
      <c r="A159" s="22">
        <v>45084</v>
      </c>
      <c r="B159">
        <v>99698</v>
      </c>
      <c r="C159">
        <v>46708</v>
      </c>
      <c r="D159">
        <v>71964</v>
      </c>
      <c r="E159">
        <v>85</v>
      </c>
    </row>
    <row r="160" spans="1:5" x14ac:dyDescent="0.2">
      <c r="A160" s="22">
        <v>45085</v>
      </c>
      <c r="B160">
        <v>127840</v>
      </c>
      <c r="C160">
        <v>57984</v>
      </c>
      <c r="D160">
        <v>66678</v>
      </c>
      <c r="E160">
        <v>95</v>
      </c>
    </row>
    <row r="161" spans="1:5" x14ac:dyDescent="0.2">
      <c r="A161" s="22">
        <v>45086</v>
      </c>
      <c r="B161">
        <v>94328</v>
      </c>
      <c r="C161">
        <v>50231</v>
      </c>
      <c r="D161">
        <v>74064</v>
      </c>
      <c r="E161">
        <v>144</v>
      </c>
    </row>
    <row r="162" spans="1:5" x14ac:dyDescent="0.2">
      <c r="A162" s="22">
        <v>45087</v>
      </c>
      <c r="B162">
        <v>110562</v>
      </c>
      <c r="C162">
        <v>45997</v>
      </c>
      <c r="D162">
        <v>65861</v>
      </c>
      <c r="E162">
        <v>108</v>
      </c>
    </row>
    <row r="163" spans="1:5" x14ac:dyDescent="0.2">
      <c r="A163" s="22">
        <v>45088</v>
      </c>
      <c r="B163">
        <v>106334</v>
      </c>
      <c r="C163">
        <v>46748</v>
      </c>
      <c r="D163">
        <v>81800</v>
      </c>
      <c r="E163">
        <v>174</v>
      </c>
    </row>
    <row r="164" spans="1:5" x14ac:dyDescent="0.2">
      <c r="A164" s="22">
        <v>45089</v>
      </c>
      <c r="B164">
        <v>104556</v>
      </c>
      <c r="C164">
        <v>39679</v>
      </c>
      <c r="D164">
        <v>55674</v>
      </c>
      <c r="E164">
        <v>162</v>
      </c>
    </row>
    <row r="165" spans="1:5" x14ac:dyDescent="0.2">
      <c r="A165" s="22">
        <v>45090</v>
      </c>
      <c r="B165">
        <v>122990</v>
      </c>
      <c r="C165">
        <v>53922</v>
      </c>
      <c r="D165">
        <v>95118</v>
      </c>
      <c r="E165">
        <v>147</v>
      </c>
    </row>
    <row r="166" spans="1:5" x14ac:dyDescent="0.2">
      <c r="A166" s="22">
        <v>45091</v>
      </c>
      <c r="B166">
        <v>94755</v>
      </c>
      <c r="C166">
        <v>35704</v>
      </c>
      <c r="D166">
        <v>72346</v>
      </c>
      <c r="E166">
        <v>168</v>
      </c>
    </row>
    <row r="167" spans="1:5" x14ac:dyDescent="0.2">
      <c r="A167" s="22">
        <v>45092</v>
      </c>
      <c r="B167">
        <v>92361</v>
      </c>
      <c r="C167">
        <v>42576</v>
      </c>
      <c r="D167">
        <v>65888</v>
      </c>
      <c r="E167">
        <v>174</v>
      </c>
    </row>
    <row r="168" spans="1:5" x14ac:dyDescent="0.2">
      <c r="A168" s="22">
        <v>45093</v>
      </c>
      <c r="B168">
        <v>124189</v>
      </c>
      <c r="C168">
        <v>55670</v>
      </c>
      <c r="D168">
        <v>67505</v>
      </c>
      <c r="E168">
        <v>138</v>
      </c>
    </row>
    <row r="169" spans="1:5" x14ac:dyDescent="0.2">
      <c r="A169" s="22">
        <v>45094</v>
      </c>
      <c r="B169">
        <v>125745</v>
      </c>
      <c r="C169">
        <v>66682</v>
      </c>
      <c r="D169">
        <v>80634</v>
      </c>
      <c r="E169">
        <v>121</v>
      </c>
    </row>
    <row r="170" spans="1:5" x14ac:dyDescent="0.2">
      <c r="A170" s="22">
        <v>45095</v>
      </c>
      <c r="B170">
        <v>116815</v>
      </c>
      <c r="C170">
        <v>48377</v>
      </c>
      <c r="D170">
        <v>86438</v>
      </c>
      <c r="E170">
        <v>86</v>
      </c>
    </row>
    <row r="171" spans="1:5" x14ac:dyDescent="0.2">
      <c r="A171" s="22">
        <v>45096</v>
      </c>
      <c r="B171">
        <v>126822</v>
      </c>
      <c r="C171">
        <v>54570</v>
      </c>
      <c r="D171">
        <v>65787</v>
      </c>
      <c r="E171">
        <v>91</v>
      </c>
    </row>
    <row r="172" spans="1:5" x14ac:dyDescent="0.2">
      <c r="A172" s="22">
        <v>45097</v>
      </c>
      <c r="B172">
        <v>108449</v>
      </c>
      <c r="C172">
        <v>50623</v>
      </c>
      <c r="D172">
        <v>85857</v>
      </c>
      <c r="E172">
        <v>62</v>
      </c>
    </row>
    <row r="173" spans="1:5" x14ac:dyDescent="0.2">
      <c r="A173" s="22">
        <v>45098</v>
      </c>
      <c r="B173">
        <v>105394</v>
      </c>
      <c r="C173">
        <v>39203</v>
      </c>
      <c r="D173">
        <v>68568</v>
      </c>
      <c r="E173">
        <v>177</v>
      </c>
    </row>
    <row r="174" spans="1:5" x14ac:dyDescent="0.2">
      <c r="A174" s="22">
        <v>45099</v>
      </c>
      <c r="B174">
        <v>98275</v>
      </c>
      <c r="C174">
        <v>53642</v>
      </c>
      <c r="D174">
        <v>63839</v>
      </c>
      <c r="E174">
        <v>172</v>
      </c>
    </row>
    <row r="175" spans="1:5" x14ac:dyDescent="0.2">
      <c r="A175" s="22">
        <v>45100</v>
      </c>
      <c r="B175">
        <v>104506</v>
      </c>
      <c r="C175">
        <v>56117</v>
      </c>
      <c r="D175">
        <v>80977</v>
      </c>
      <c r="E175">
        <v>102</v>
      </c>
    </row>
    <row r="176" spans="1:5" x14ac:dyDescent="0.2">
      <c r="A176" s="22">
        <v>45101</v>
      </c>
      <c r="B176">
        <v>113885</v>
      </c>
      <c r="C176">
        <v>62157</v>
      </c>
      <c r="D176">
        <v>71782</v>
      </c>
      <c r="E176">
        <v>149</v>
      </c>
    </row>
    <row r="177" spans="1:5" x14ac:dyDescent="0.2">
      <c r="A177" s="22">
        <v>45102</v>
      </c>
      <c r="B177">
        <v>130981</v>
      </c>
      <c r="C177">
        <v>63614</v>
      </c>
      <c r="D177">
        <v>79492</v>
      </c>
      <c r="E177">
        <v>133</v>
      </c>
    </row>
    <row r="178" spans="1:5" x14ac:dyDescent="0.2">
      <c r="A178" s="22">
        <v>45103</v>
      </c>
      <c r="B178">
        <v>96896</v>
      </c>
      <c r="C178">
        <v>38797</v>
      </c>
      <c r="D178">
        <v>63779</v>
      </c>
      <c r="E178">
        <v>172</v>
      </c>
    </row>
    <row r="179" spans="1:5" x14ac:dyDescent="0.2">
      <c r="A179" s="22">
        <v>45104</v>
      </c>
      <c r="B179">
        <v>120746</v>
      </c>
      <c r="C179">
        <v>56477</v>
      </c>
      <c r="D179">
        <v>90643</v>
      </c>
      <c r="E179">
        <v>119</v>
      </c>
    </row>
    <row r="180" spans="1:5" x14ac:dyDescent="0.2">
      <c r="A180" s="22">
        <v>45105</v>
      </c>
      <c r="B180">
        <v>116876</v>
      </c>
      <c r="C180">
        <v>44906</v>
      </c>
      <c r="D180">
        <v>73800</v>
      </c>
      <c r="E180">
        <v>74</v>
      </c>
    </row>
    <row r="181" spans="1:5" x14ac:dyDescent="0.2">
      <c r="A181" s="22">
        <v>45106</v>
      </c>
      <c r="B181">
        <v>102443</v>
      </c>
      <c r="C181">
        <v>36631</v>
      </c>
      <c r="D181">
        <v>69133</v>
      </c>
      <c r="E181">
        <v>80</v>
      </c>
    </row>
    <row r="182" spans="1:5" x14ac:dyDescent="0.2">
      <c r="A182" s="22">
        <v>45107</v>
      </c>
      <c r="B182">
        <v>109177</v>
      </c>
      <c r="C182">
        <v>40686</v>
      </c>
      <c r="D182">
        <v>65360</v>
      </c>
      <c r="E182">
        <v>107</v>
      </c>
    </row>
    <row r="183" spans="1:5" x14ac:dyDescent="0.2">
      <c r="A183" s="22">
        <v>45108</v>
      </c>
      <c r="B183">
        <v>103765</v>
      </c>
      <c r="C183">
        <v>37248</v>
      </c>
      <c r="D183">
        <v>79439</v>
      </c>
      <c r="E183">
        <v>155</v>
      </c>
    </row>
    <row r="184" spans="1:5" x14ac:dyDescent="0.2">
      <c r="A184" s="22">
        <v>45109</v>
      </c>
      <c r="B184">
        <v>122591</v>
      </c>
      <c r="C184">
        <v>62595</v>
      </c>
      <c r="D184">
        <v>81215</v>
      </c>
      <c r="E184">
        <v>72</v>
      </c>
    </row>
    <row r="185" spans="1:5" x14ac:dyDescent="0.2">
      <c r="A185" s="22">
        <v>45110</v>
      </c>
      <c r="B185">
        <v>100035</v>
      </c>
      <c r="C185">
        <v>37320</v>
      </c>
      <c r="D185">
        <v>62431</v>
      </c>
      <c r="E185">
        <v>171</v>
      </c>
    </row>
    <row r="186" spans="1:5" x14ac:dyDescent="0.2">
      <c r="A186" s="22">
        <v>45111</v>
      </c>
      <c r="B186">
        <v>118582</v>
      </c>
      <c r="C186">
        <v>46895</v>
      </c>
      <c r="D186">
        <v>67517</v>
      </c>
      <c r="E186">
        <v>67</v>
      </c>
    </row>
    <row r="187" spans="1:5" x14ac:dyDescent="0.2">
      <c r="A187" s="22">
        <v>45112</v>
      </c>
      <c r="B187">
        <v>124938</v>
      </c>
      <c r="C187">
        <v>47028</v>
      </c>
      <c r="D187">
        <v>90815</v>
      </c>
      <c r="E187">
        <v>82</v>
      </c>
    </row>
    <row r="188" spans="1:5" x14ac:dyDescent="0.2">
      <c r="A188" s="22">
        <v>45113</v>
      </c>
      <c r="B188">
        <v>107729</v>
      </c>
      <c r="C188">
        <v>38202</v>
      </c>
      <c r="D188">
        <v>81599</v>
      </c>
      <c r="E188">
        <v>119</v>
      </c>
    </row>
    <row r="189" spans="1:5" x14ac:dyDescent="0.2">
      <c r="A189" s="22">
        <v>45114</v>
      </c>
      <c r="B189">
        <v>121410</v>
      </c>
      <c r="C189">
        <v>60000</v>
      </c>
      <c r="D189">
        <v>68266</v>
      </c>
      <c r="E189">
        <v>89</v>
      </c>
    </row>
    <row r="190" spans="1:5" x14ac:dyDescent="0.2">
      <c r="A190" s="22">
        <v>45115</v>
      </c>
      <c r="B190">
        <v>99331</v>
      </c>
      <c r="C190">
        <v>35657</v>
      </c>
      <c r="D190">
        <v>70563</v>
      </c>
      <c r="E190">
        <v>87</v>
      </c>
    </row>
    <row r="191" spans="1:5" x14ac:dyDescent="0.2">
      <c r="A191" s="22">
        <v>45116</v>
      </c>
      <c r="B191">
        <v>90055</v>
      </c>
      <c r="C191">
        <v>41601</v>
      </c>
      <c r="D191">
        <v>48133</v>
      </c>
      <c r="E191">
        <v>154</v>
      </c>
    </row>
    <row r="192" spans="1:5" x14ac:dyDescent="0.2">
      <c r="A192" s="22">
        <v>45117</v>
      </c>
      <c r="B192">
        <v>117849</v>
      </c>
      <c r="C192">
        <v>52650</v>
      </c>
      <c r="D192">
        <v>77255</v>
      </c>
      <c r="E192">
        <v>85</v>
      </c>
    </row>
    <row r="193" spans="1:5" x14ac:dyDescent="0.2">
      <c r="A193" s="22">
        <v>45118</v>
      </c>
      <c r="B193">
        <v>108560</v>
      </c>
      <c r="C193">
        <v>55386</v>
      </c>
      <c r="D193">
        <v>62849</v>
      </c>
      <c r="E193">
        <v>87</v>
      </c>
    </row>
    <row r="194" spans="1:5" x14ac:dyDescent="0.2">
      <c r="A194" s="22">
        <v>45119</v>
      </c>
      <c r="B194">
        <v>92353</v>
      </c>
      <c r="C194">
        <v>32332</v>
      </c>
      <c r="D194">
        <v>56502</v>
      </c>
      <c r="E194">
        <v>90</v>
      </c>
    </row>
    <row r="195" spans="1:5" x14ac:dyDescent="0.2">
      <c r="A195" s="22">
        <v>45120</v>
      </c>
      <c r="B195">
        <v>118222</v>
      </c>
      <c r="C195">
        <v>64552</v>
      </c>
      <c r="D195">
        <v>80141</v>
      </c>
      <c r="E195">
        <v>76</v>
      </c>
    </row>
    <row r="196" spans="1:5" x14ac:dyDescent="0.2">
      <c r="A196" s="22">
        <v>45121</v>
      </c>
      <c r="B196">
        <v>131193</v>
      </c>
      <c r="C196">
        <v>58697</v>
      </c>
      <c r="D196">
        <v>83606</v>
      </c>
      <c r="E196">
        <v>162</v>
      </c>
    </row>
    <row r="197" spans="1:5" x14ac:dyDescent="0.2">
      <c r="A197" s="22">
        <v>45122</v>
      </c>
      <c r="B197">
        <v>98779</v>
      </c>
      <c r="C197">
        <v>43421</v>
      </c>
      <c r="D197">
        <v>70005</v>
      </c>
      <c r="E197">
        <v>138</v>
      </c>
    </row>
    <row r="198" spans="1:5" x14ac:dyDescent="0.2">
      <c r="A198" s="22">
        <v>45123</v>
      </c>
      <c r="B198">
        <v>93613</v>
      </c>
      <c r="C198">
        <v>38466</v>
      </c>
      <c r="D198">
        <v>47804</v>
      </c>
      <c r="E198">
        <v>117</v>
      </c>
    </row>
    <row r="199" spans="1:5" x14ac:dyDescent="0.2">
      <c r="A199" s="22">
        <v>45124</v>
      </c>
      <c r="B199">
        <v>107071</v>
      </c>
      <c r="C199">
        <v>46130</v>
      </c>
      <c r="D199">
        <v>54730</v>
      </c>
      <c r="E199">
        <v>149</v>
      </c>
    </row>
    <row r="200" spans="1:5" x14ac:dyDescent="0.2">
      <c r="A200" s="22">
        <v>45125</v>
      </c>
      <c r="B200">
        <v>123191</v>
      </c>
      <c r="C200">
        <v>63133</v>
      </c>
      <c r="D200">
        <v>80618</v>
      </c>
      <c r="E200">
        <v>166</v>
      </c>
    </row>
    <row r="201" spans="1:5" x14ac:dyDescent="0.2">
      <c r="A201" s="22">
        <v>45126</v>
      </c>
      <c r="B201">
        <v>99896</v>
      </c>
      <c r="C201">
        <v>35096</v>
      </c>
      <c r="D201">
        <v>71781</v>
      </c>
      <c r="E201">
        <v>107</v>
      </c>
    </row>
    <row r="202" spans="1:5" x14ac:dyDescent="0.2">
      <c r="A202" s="22">
        <v>45127</v>
      </c>
      <c r="B202">
        <v>116337</v>
      </c>
      <c r="C202">
        <v>50100</v>
      </c>
      <c r="D202">
        <v>67974</v>
      </c>
      <c r="E202">
        <v>142</v>
      </c>
    </row>
    <row r="203" spans="1:5" x14ac:dyDescent="0.2">
      <c r="A203" s="22">
        <v>45128</v>
      </c>
      <c r="B203">
        <v>96279</v>
      </c>
      <c r="C203">
        <v>43679</v>
      </c>
      <c r="D203">
        <v>59994</v>
      </c>
      <c r="E203">
        <v>91</v>
      </c>
    </row>
    <row r="204" spans="1:5" x14ac:dyDescent="0.2">
      <c r="A204" s="22">
        <v>45129</v>
      </c>
      <c r="B204">
        <v>114605</v>
      </c>
      <c r="C204">
        <v>56079</v>
      </c>
      <c r="D204">
        <v>87448</v>
      </c>
      <c r="E204">
        <v>71</v>
      </c>
    </row>
    <row r="205" spans="1:5" x14ac:dyDescent="0.2">
      <c r="A205" s="22">
        <v>45130</v>
      </c>
      <c r="B205">
        <v>129954</v>
      </c>
      <c r="C205">
        <v>56587</v>
      </c>
      <c r="D205">
        <v>67692</v>
      </c>
      <c r="E205">
        <v>63</v>
      </c>
    </row>
    <row r="206" spans="1:5" x14ac:dyDescent="0.2">
      <c r="A206" s="22">
        <v>45131</v>
      </c>
      <c r="B206">
        <v>102839</v>
      </c>
      <c r="C206">
        <v>52698</v>
      </c>
      <c r="D206">
        <v>79251</v>
      </c>
      <c r="E206">
        <v>63</v>
      </c>
    </row>
    <row r="207" spans="1:5" x14ac:dyDescent="0.2">
      <c r="A207" s="22">
        <v>45132</v>
      </c>
      <c r="B207">
        <v>93061</v>
      </c>
      <c r="C207">
        <v>34121</v>
      </c>
      <c r="D207">
        <v>55012</v>
      </c>
      <c r="E207">
        <v>144</v>
      </c>
    </row>
    <row r="208" spans="1:5" x14ac:dyDescent="0.2">
      <c r="A208" s="22">
        <v>45133</v>
      </c>
      <c r="B208">
        <v>113515</v>
      </c>
      <c r="C208">
        <v>54573</v>
      </c>
      <c r="D208">
        <v>81526</v>
      </c>
      <c r="E208">
        <v>95</v>
      </c>
    </row>
    <row r="209" spans="1:5" x14ac:dyDescent="0.2">
      <c r="A209" s="22">
        <v>45134</v>
      </c>
      <c r="B209">
        <v>123369</v>
      </c>
      <c r="C209">
        <v>53933</v>
      </c>
      <c r="D209">
        <v>74038</v>
      </c>
      <c r="E209">
        <v>137</v>
      </c>
    </row>
    <row r="210" spans="1:5" x14ac:dyDescent="0.2">
      <c r="A210" s="22">
        <v>45135</v>
      </c>
      <c r="B210">
        <v>125087</v>
      </c>
      <c r="C210">
        <v>59004</v>
      </c>
      <c r="D210">
        <v>89275</v>
      </c>
      <c r="E210">
        <v>88</v>
      </c>
    </row>
    <row r="211" spans="1:5" x14ac:dyDescent="0.2">
      <c r="A211" s="22">
        <v>45136</v>
      </c>
      <c r="B211">
        <v>113861</v>
      </c>
      <c r="C211">
        <v>55028</v>
      </c>
      <c r="D211">
        <v>78265</v>
      </c>
      <c r="E211">
        <v>60</v>
      </c>
    </row>
    <row r="212" spans="1:5" x14ac:dyDescent="0.2">
      <c r="A212" s="22">
        <v>45137</v>
      </c>
      <c r="B212">
        <v>129595</v>
      </c>
      <c r="C212">
        <v>51032</v>
      </c>
      <c r="D212">
        <v>67820</v>
      </c>
      <c r="E212">
        <v>114</v>
      </c>
    </row>
    <row r="213" spans="1:5" x14ac:dyDescent="0.2">
      <c r="A213" s="22">
        <v>45138</v>
      </c>
      <c r="B213">
        <v>123516</v>
      </c>
      <c r="C213">
        <v>55527</v>
      </c>
      <c r="D213">
        <v>81110</v>
      </c>
      <c r="E213">
        <v>78</v>
      </c>
    </row>
    <row r="214" spans="1:5" x14ac:dyDescent="0.2">
      <c r="A214" s="22">
        <v>45139</v>
      </c>
      <c r="B214">
        <v>100452</v>
      </c>
      <c r="C214">
        <v>46427</v>
      </c>
      <c r="D214">
        <v>51287</v>
      </c>
      <c r="E214">
        <v>69</v>
      </c>
    </row>
    <row r="215" spans="1:5" x14ac:dyDescent="0.2">
      <c r="A215" s="22">
        <v>45140</v>
      </c>
      <c r="B215">
        <v>132183</v>
      </c>
      <c r="C215">
        <v>47422</v>
      </c>
      <c r="D215">
        <v>69198</v>
      </c>
      <c r="E215">
        <v>105</v>
      </c>
    </row>
    <row r="216" spans="1:5" x14ac:dyDescent="0.2">
      <c r="A216" s="22">
        <v>45141</v>
      </c>
      <c r="B216">
        <v>128946</v>
      </c>
      <c r="C216">
        <v>61648</v>
      </c>
      <c r="D216">
        <v>74702</v>
      </c>
      <c r="E216">
        <v>102</v>
      </c>
    </row>
    <row r="217" spans="1:5" x14ac:dyDescent="0.2">
      <c r="A217" s="22">
        <v>45142</v>
      </c>
      <c r="B217">
        <v>107257</v>
      </c>
      <c r="C217">
        <v>46459</v>
      </c>
      <c r="D217">
        <v>79563</v>
      </c>
      <c r="E217">
        <v>151</v>
      </c>
    </row>
    <row r="218" spans="1:5" x14ac:dyDescent="0.2">
      <c r="A218" s="22">
        <v>45143</v>
      </c>
      <c r="B218">
        <v>92795</v>
      </c>
      <c r="C218">
        <v>46048</v>
      </c>
      <c r="D218">
        <v>50662</v>
      </c>
      <c r="E218">
        <v>159</v>
      </c>
    </row>
    <row r="219" spans="1:5" x14ac:dyDescent="0.2">
      <c r="A219" s="22">
        <v>45144</v>
      </c>
      <c r="B219">
        <v>117000</v>
      </c>
      <c r="C219">
        <v>61053</v>
      </c>
      <c r="D219">
        <v>69336</v>
      </c>
      <c r="E219">
        <v>108</v>
      </c>
    </row>
    <row r="220" spans="1:5" x14ac:dyDescent="0.2">
      <c r="A220" s="22">
        <v>45145</v>
      </c>
      <c r="B220">
        <v>104404</v>
      </c>
      <c r="C220">
        <v>39601</v>
      </c>
      <c r="D220">
        <v>59786</v>
      </c>
      <c r="E220">
        <v>135</v>
      </c>
    </row>
    <row r="221" spans="1:5" x14ac:dyDescent="0.2">
      <c r="A221" s="22">
        <v>45146</v>
      </c>
      <c r="B221">
        <v>115264</v>
      </c>
      <c r="C221">
        <v>41844</v>
      </c>
      <c r="D221">
        <v>81808</v>
      </c>
      <c r="E221">
        <v>178</v>
      </c>
    </row>
    <row r="222" spans="1:5" x14ac:dyDescent="0.2">
      <c r="A222" s="22">
        <v>45147</v>
      </c>
      <c r="B222">
        <v>129174</v>
      </c>
      <c r="C222">
        <v>64600</v>
      </c>
      <c r="D222">
        <v>101402</v>
      </c>
      <c r="E222">
        <v>167</v>
      </c>
    </row>
    <row r="223" spans="1:5" x14ac:dyDescent="0.2">
      <c r="A223" s="22">
        <v>45148</v>
      </c>
      <c r="B223">
        <v>113669</v>
      </c>
      <c r="C223">
        <v>43607</v>
      </c>
      <c r="D223">
        <v>60066</v>
      </c>
      <c r="E223">
        <v>156</v>
      </c>
    </row>
    <row r="224" spans="1:5" x14ac:dyDescent="0.2">
      <c r="A224" s="22">
        <v>45149</v>
      </c>
      <c r="B224">
        <v>99754</v>
      </c>
      <c r="C224">
        <v>36269</v>
      </c>
      <c r="D224">
        <v>69906</v>
      </c>
      <c r="E224">
        <v>173</v>
      </c>
    </row>
    <row r="225" spans="1:5" x14ac:dyDescent="0.2">
      <c r="A225" s="22">
        <v>45150</v>
      </c>
      <c r="B225">
        <v>103443</v>
      </c>
      <c r="C225">
        <v>36968</v>
      </c>
      <c r="D225">
        <v>76266</v>
      </c>
      <c r="E225">
        <v>179</v>
      </c>
    </row>
    <row r="226" spans="1:5" x14ac:dyDescent="0.2">
      <c r="A226" s="22">
        <v>45151</v>
      </c>
      <c r="B226">
        <v>90005</v>
      </c>
      <c r="C226">
        <v>33252</v>
      </c>
      <c r="D226">
        <v>51116</v>
      </c>
      <c r="E226">
        <v>73</v>
      </c>
    </row>
    <row r="227" spans="1:5" x14ac:dyDescent="0.2">
      <c r="A227" s="22">
        <v>45152</v>
      </c>
      <c r="B227">
        <v>110867</v>
      </c>
      <c r="C227">
        <v>44852</v>
      </c>
      <c r="D227">
        <v>88150</v>
      </c>
      <c r="E227">
        <v>61</v>
      </c>
    </row>
    <row r="228" spans="1:5" x14ac:dyDescent="0.2">
      <c r="A228" s="22">
        <v>45153</v>
      </c>
      <c r="B228">
        <v>105762</v>
      </c>
      <c r="C228">
        <v>38063</v>
      </c>
      <c r="D228">
        <v>70167</v>
      </c>
      <c r="E228">
        <v>65</v>
      </c>
    </row>
    <row r="229" spans="1:5" x14ac:dyDescent="0.2">
      <c r="A229" s="22">
        <v>45154</v>
      </c>
      <c r="B229">
        <v>97392</v>
      </c>
      <c r="C229">
        <v>41276</v>
      </c>
      <c r="D229">
        <v>66382</v>
      </c>
      <c r="E229">
        <v>157</v>
      </c>
    </row>
    <row r="230" spans="1:5" x14ac:dyDescent="0.2">
      <c r="A230" s="22">
        <v>45155</v>
      </c>
      <c r="B230">
        <v>109173</v>
      </c>
      <c r="C230">
        <v>48107</v>
      </c>
      <c r="D230">
        <v>80510</v>
      </c>
      <c r="E230">
        <v>129</v>
      </c>
    </row>
    <row r="231" spans="1:5" x14ac:dyDescent="0.2">
      <c r="A231" s="22">
        <v>45156</v>
      </c>
      <c r="B231">
        <v>127446</v>
      </c>
      <c r="C231">
        <v>60651</v>
      </c>
      <c r="D231">
        <v>74019</v>
      </c>
      <c r="E231">
        <v>165</v>
      </c>
    </row>
    <row r="232" spans="1:5" x14ac:dyDescent="0.2">
      <c r="A232" s="22">
        <v>45157</v>
      </c>
      <c r="B232">
        <v>115662</v>
      </c>
      <c r="C232">
        <v>48400</v>
      </c>
      <c r="D232">
        <v>80943</v>
      </c>
      <c r="E232">
        <v>106</v>
      </c>
    </row>
    <row r="233" spans="1:5" x14ac:dyDescent="0.2">
      <c r="A233" s="22">
        <v>45158</v>
      </c>
      <c r="B233">
        <v>120186</v>
      </c>
      <c r="C233">
        <v>43742</v>
      </c>
      <c r="D233">
        <v>74390</v>
      </c>
      <c r="E233">
        <v>127</v>
      </c>
    </row>
    <row r="234" spans="1:5" x14ac:dyDescent="0.2">
      <c r="A234" s="22">
        <v>45159</v>
      </c>
      <c r="B234">
        <v>113389</v>
      </c>
      <c r="C234">
        <v>52202</v>
      </c>
      <c r="D234">
        <v>87389</v>
      </c>
      <c r="E234">
        <v>122</v>
      </c>
    </row>
    <row r="235" spans="1:5" x14ac:dyDescent="0.2">
      <c r="A235" s="22">
        <v>45160</v>
      </c>
      <c r="B235">
        <v>117060</v>
      </c>
      <c r="C235">
        <v>55338</v>
      </c>
      <c r="D235">
        <v>91383</v>
      </c>
      <c r="E235">
        <v>135</v>
      </c>
    </row>
    <row r="236" spans="1:5" x14ac:dyDescent="0.2">
      <c r="A236" s="22">
        <v>45161</v>
      </c>
      <c r="B236">
        <v>95061</v>
      </c>
      <c r="C236">
        <v>36257</v>
      </c>
      <c r="D236">
        <v>63398</v>
      </c>
      <c r="E236">
        <v>167</v>
      </c>
    </row>
    <row r="237" spans="1:5" x14ac:dyDescent="0.2">
      <c r="A237" s="22">
        <v>45162</v>
      </c>
      <c r="B237">
        <v>113023</v>
      </c>
      <c r="C237">
        <v>46759</v>
      </c>
      <c r="D237">
        <v>88037</v>
      </c>
      <c r="E237">
        <v>70</v>
      </c>
    </row>
    <row r="238" spans="1:5" x14ac:dyDescent="0.2">
      <c r="A238" s="22">
        <v>45163</v>
      </c>
      <c r="B238">
        <v>91378</v>
      </c>
      <c r="C238">
        <v>34462</v>
      </c>
      <c r="D238">
        <v>57140</v>
      </c>
      <c r="E238">
        <v>86</v>
      </c>
    </row>
    <row r="239" spans="1:5" x14ac:dyDescent="0.2">
      <c r="A239" s="22">
        <v>45164</v>
      </c>
      <c r="B239">
        <v>106683</v>
      </c>
      <c r="C239">
        <v>57953</v>
      </c>
      <c r="D239">
        <v>70739</v>
      </c>
      <c r="E239">
        <v>62</v>
      </c>
    </row>
    <row r="240" spans="1:5" x14ac:dyDescent="0.2">
      <c r="A240" s="22">
        <v>45165</v>
      </c>
      <c r="B240">
        <v>94090</v>
      </c>
      <c r="C240">
        <v>41144</v>
      </c>
      <c r="D240">
        <v>68369</v>
      </c>
      <c r="E240">
        <v>166</v>
      </c>
    </row>
    <row r="241" spans="1:5" x14ac:dyDescent="0.2">
      <c r="A241" s="22">
        <v>45166</v>
      </c>
      <c r="B241">
        <v>94526</v>
      </c>
      <c r="C241">
        <v>46207</v>
      </c>
      <c r="D241">
        <v>51460</v>
      </c>
      <c r="E241">
        <v>167</v>
      </c>
    </row>
    <row r="242" spans="1:5" x14ac:dyDescent="0.2">
      <c r="A242" s="22">
        <v>45167</v>
      </c>
      <c r="B242">
        <v>112624</v>
      </c>
      <c r="C242">
        <v>49439</v>
      </c>
      <c r="D242">
        <v>68762</v>
      </c>
      <c r="E242">
        <v>149</v>
      </c>
    </row>
    <row r="243" spans="1:5" x14ac:dyDescent="0.2">
      <c r="A243" s="22">
        <v>45168</v>
      </c>
      <c r="B243">
        <v>95945</v>
      </c>
      <c r="C243">
        <v>49602</v>
      </c>
      <c r="D243">
        <v>57235</v>
      </c>
      <c r="E243">
        <v>85</v>
      </c>
    </row>
    <row r="244" spans="1:5" x14ac:dyDescent="0.2">
      <c r="A244" s="22">
        <v>45169</v>
      </c>
      <c r="B244">
        <v>107928</v>
      </c>
      <c r="C244">
        <v>38924</v>
      </c>
      <c r="D244">
        <v>68606</v>
      </c>
      <c r="E244">
        <v>102</v>
      </c>
    </row>
    <row r="245" spans="1:5" x14ac:dyDescent="0.2">
      <c r="A245" s="22">
        <v>45170</v>
      </c>
      <c r="B245">
        <v>119324</v>
      </c>
      <c r="C245">
        <v>60511</v>
      </c>
      <c r="D245">
        <v>70663</v>
      </c>
      <c r="E245">
        <v>126</v>
      </c>
    </row>
    <row r="246" spans="1:5" x14ac:dyDescent="0.2">
      <c r="A246" s="22">
        <v>45171</v>
      </c>
      <c r="B246">
        <v>129035</v>
      </c>
      <c r="C246">
        <v>57594</v>
      </c>
      <c r="D246">
        <v>87695</v>
      </c>
      <c r="E246">
        <v>171</v>
      </c>
    </row>
    <row r="247" spans="1:5" x14ac:dyDescent="0.2">
      <c r="A247" s="22">
        <v>45172</v>
      </c>
      <c r="B247">
        <v>117081</v>
      </c>
      <c r="C247">
        <v>45713</v>
      </c>
      <c r="D247">
        <v>86246</v>
      </c>
      <c r="E247">
        <v>137</v>
      </c>
    </row>
    <row r="248" spans="1:5" x14ac:dyDescent="0.2">
      <c r="A248" s="22">
        <v>45173</v>
      </c>
      <c r="B248">
        <v>90789</v>
      </c>
      <c r="C248">
        <v>38754</v>
      </c>
      <c r="D248">
        <v>51698</v>
      </c>
      <c r="E248">
        <v>94</v>
      </c>
    </row>
    <row r="249" spans="1:5" x14ac:dyDescent="0.2">
      <c r="A249" s="22">
        <v>45174</v>
      </c>
      <c r="B249">
        <v>130037</v>
      </c>
      <c r="C249">
        <v>58511</v>
      </c>
      <c r="D249">
        <v>90899</v>
      </c>
      <c r="E249">
        <v>156</v>
      </c>
    </row>
    <row r="250" spans="1:5" x14ac:dyDescent="0.2">
      <c r="A250" s="22">
        <v>45175</v>
      </c>
      <c r="B250">
        <v>107640</v>
      </c>
      <c r="C250">
        <v>52139</v>
      </c>
      <c r="D250">
        <v>83425</v>
      </c>
      <c r="E250">
        <v>71</v>
      </c>
    </row>
    <row r="251" spans="1:5" x14ac:dyDescent="0.2">
      <c r="A251" s="22">
        <v>45176</v>
      </c>
      <c r="B251">
        <v>107227</v>
      </c>
      <c r="C251">
        <v>41945</v>
      </c>
      <c r="D251">
        <v>80426</v>
      </c>
      <c r="E251">
        <v>100</v>
      </c>
    </row>
    <row r="252" spans="1:5" x14ac:dyDescent="0.2">
      <c r="A252" s="22">
        <v>45177</v>
      </c>
      <c r="B252">
        <v>96698</v>
      </c>
      <c r="C252">
        <v>47826</v>
      </c>
      <c r="D252">
        <v>62850</v>
      </c>
      <c r="E252">
        <v>117</v>
      </c>
    </row>
    <row r="253" spans="1:5" x14ac:dyDescent="0.2">
      <c r="A253" s="22">
        <v>45178</v>
      </c>
      <c r="B253">
        <v>105612</v>
      </c>
      <c r="C253">
        <v>51821</v>
      </c>
      <c r="D253">
        <v>81219</v>
      </c>
      <c r="E253">
        <v>147</v>
      </c>
    </row>
    <row r="254" spans="1:5" x14ac:dyDescent="0.2">
      <c r="A254" s="22">
        <v>45179</v>
      </c>
      <c r="B254">
        <v>128497</v>
      </c>
      <c r="C254">
        <v>54364</v>
      </c>
      <c r="D254">
        <v>85410</v>
      </c>
      <c r="E254">
        <v>149</v>
      </c>
    </row>
    <row r="255" spans="1:5" x14ac:dyDescent="0.2">
      <c r="A255" s="22">
        <v>45180</v>
      </c>
      <c r="B255">
        <v>104545</v>
      </c>
      <c r="C255">
        <v>41967</v>
      </c>
      <c r="D255">
        <v>71193</v>
      </c>
      <c r="E255">
        <v>99</v>
      </c>
    </row>
    <row r="256" spans="1:5" x14ac:dyDescent="0.2">
      <c r="A256" s="22">
        <v>45181</v>
      </c>
      <c r="B256">
        <v>131138</v>
      </c>
      <c r="C256">
        <v>49142</v>
      </c>
      <c r="D256">
        <v>66510</v>
      </c>
      <c r="E256">
        <v>102</v>
      </c>
    </row>
    <row r="257" spans="1:5" x14ac:dyDescent="0.2">
      <c r="A257" s="22">
        <v>45182</v>
      </c>
      <c r="B257">
        <v>126534</v>
      </c>
      <c r="C257">
        <v>46495</v>
      </c>
      <c r="D257">
        <v>82653</v>
      </c>
      <c r="E257">
        <v>120</v>
      </c>
    </row>
    <row r="258" spans="1:5" x14ac:dyDescent="0.2">
      <c r="A258" s="22">
        <v>45183</v>
      </c>
      <c r="B258">
        <v>128661</v>
      </c>
      <c r="C258">
        <v>68023</v>
      </c>
      <c r="D258">
        <v>86529</v>
      </c>
      <c r="E258">
        <v>114</v>
      </c>
    </row>
    <row r="259" spans="1:5" x14ac:dyDescent="0.2">
      <c r="A259" s="22">
        <v>45184</v>
      </c>
      <c r="B259">
        <v>132278</v>
      </c>
      <c r="C259">
        <v>48295</v>
      </c>
      <c r="D259">
        <v>79498</v>
      </c>
      <c r="E259">
        <v>80</v>
      </c>
    </row>
    <row r="260" spans="1:5" x14ac:dyDescent="0.2">
      <c r="A260" s="22">
        <v>45185</v>
      </c>
      <c r="B260">
        <v>95452</v>
      </c>
      <c r="C260">
        <v>37780</v>
      </c>
      <c r="D260">
        <v>49770</v>
      </c>
      <c r="E260">
        <v>107</v>
      </c>
    </row>
    <row r="261" spans="1:5" x14ac:dyDescent="0.2">
      <c r="A261" s="22">
        <v>45186</v>
      </c>
      <c r="B261">
        <v>97188</v>
      </c>
      <c r="C261">
        <v>35780</v>
      </c>
      <c r="D261">
        <v>73279</v>
      </c>
      <c r="E261">
        <v>121</v>
      </c>
    </row>
    <row r="262" spans="1:5" x14ac:dyDescent="0.2">
      <c r="A262" s="22">
        <v>45187</v>
      </c>
      <c r="B262">
        <v>105298</v>
      </c>
      <c r="C262">
        <v>49052</v>
      </c>
      <c r="D262">
        <v>76865</v>
      </c>
      <c r="E262">
        <v>114</v>
      </c>
    </row>
    <row r="263" spans="1:5" x14ac:dyDescent="0.2">
      <c r="A263" s="22">
        <v>45188</v>
      </c>
      <c r="B263">
        <v>93626</v>
      </c>
      <c r="C263">
        <v>44053</v>
      </c>
      <c r="D263">
        <v>66770</v>
      </c>
      <c r="E263">
        <v>148</v>
      </c>
    </row>
    <row r="264" spans="1:5" x14ac:dyDescent="0.2">
      <c r="A264" s="22">
        <v>45189</v>
      </c>
      <c r="B264">
        <v>124805</v>
      </c>
      <c r="C264">
        <v>56721</v>
      </c>
      <c r="D264">
        <v>99085</v>
      </c>
      <c r="E264">
        <v>127</v>
      </c>
    </row>
    <row r="265" spans="1:5" x14ac:dyDescent="0.2">
      <c r="A265" s="22">
        <v>45190</v>
      </c>
      <c r="B265">
        <v>114557</v>
      </c>
      <c r="C265">
        <v>49194</v>
      </c>
      <c r="D265">
        <v>87538</v>
      </c>
      <c r="E265">
        <v>80</v>
      </c>
    </row>
    <row r="266" spans="1:5" x14ac:dyDescent="0.2">
      <c r="A266" s="22">
        <v>45191</v>
      </c>
      <c r="B266">
        <v>131783</v>
      </c>
      <c r="C266">
        <v>63776</v>
      </c>
      <c r="D266">
        <v>70580</v>
      </c>
      <c r="E266">
        <v>101</v>
      </c>
    </row>
    <row r="267" spans="1:5" x14ac:dyDescent="0.2">
      <c r="A267" s="22">
        <v>45192</v>
      </c>
      <c r="B267">
        <v>115995</v>
      </c>
      <c r="C267">
        <v>55026</v>
      </c>
      <c r="D267">
        <v>82492</v>
      </c>
      <c r="E267">
        <v>155</v>
      </c>
    </row>
    <row r="268" spans="1:5" x14ac:dyDescent="0.2">
      <c r="A268" s="22">
        <v>45193</v>
      </c>
      <c r="B268">
        <v>109168</v>
      </c>
      <c r="C268">
        <v>43617</v>
      </c>
      <c r="D268">
        <v>58645</v>
      </c>
      <c r="E268">
        <v>157</v>
      </c>
    </row>
    <row r="269" spans="1:5" x14ac:dyDescent="0.2">
      <c r="A269" s="22">
        <v>45194</v>
      </c>
      <c r="B269">
        <v>102182</v>
      </c>
      <c r="C269">
        <v>47395</v>
      </c>
      <c r="D269">
        <v>60826</v>
      </c>
      <c r="E269">
        <v>169</v>
      </c>
    </row>
    <row r="270" spans="1:5" x14ac:dyDescent="0.2">
      <c r="A270" s="22">
        <v>45195</v>
      </c>
      <c r="B270">
        <v>94730</v>
      </c>
      <c r="C270">
        <v>48703</v>
      </c>
      <c r="D270">
        <v>65620</v>
      </c>
      <c r="E270">
        <v>78</v>
      </c>
    </row>
    <row r="271" spans="1:5" x14ac:dyDescent="0.2">
      <c r="A271" s="22">
        <v>45196</v>
      </c>
      <c r="B271">
        <v>122608</v>
      </c>
      <c r="C271">
        <v>62151</v>
      </c>
      <c r="D271">
        <v>96220</v>
      </c>
      <c r="E271">
        <v>105</v>
      </c>
    </row>
    <row r="272" spans="1:5" x14ac:dyDescent="0.2">
      <c r="A272" s="22">
        <v>45197</v>
      </c>
      <c r="B272">
        <v>120306</v>
      </c>
      <c r="C272">
        <v>58737</v>
      </c>
      <c r="D272">
        <v>80061</v>
      </c>
      <c r="E272">
        <v>105</v>
      </c>
    </row>
    <row r="273" spans="1:5" x14ac:dyDescent="0.2">
      <c r="A273" s="22">
        <v>45198</v>
      </c>
      <c r="B273">
        <v>116331</v>
      </c>
      <c r="C273">
        <v>46820</v>
      </c>
      <c r="D273">
        <v>64259</v>
      </c>
      <c r="E273">
        <v>89</v>
      </c>
    </row>
    <row r="274" spans="1:5" x14ac:dyDescent="0.2">
      <c r="A274" s="22">
        <v>45199</v>
      </c>
      <c r="B274">
        <v>110390</v>
      </c>
      <c r="C274">
        <v>59826</v>
      </c>
      <c r="D274">
        <v>82324</v>
      </c>
      <c r="E274">
        <v>64</v>
      </c>
    </row>
    <row r="275" spans="1:5" x14ac:dyDescent="0.2">
      <c r="A275" s="22">
        <v>45200</v>
      </c>
      <c r="B275">
        <v>104641</v>
      </c>
      <c r="C275">
        <v>48306</v>
      </c>
      <c r="D275">
        <v>59079</v>
      </c>
      <c r="E275">
        <v>60</v>
      </c>
    </row>
    <row r="276" spans="1:5" x14ac:dyDescent="0.2">
      <c r="A276" s="22">
        <v>45201</v>
      </c>
      <c r="B276">
        <v>113102</v>
      </c>
      <c r="C276">
        <v>50268</v>
      </c>
      <c r="D276">
        <v>79906</v>
      </c>
      <c r="E276">
        <v>174</v>
      </c>
    </row>
    <row r="277" spans="1:5" x14ac:dyDescent="0.2">
      <c r="A277" s="22">
        <v>45202</v>
      </c>
      <c r="B277">
        <v>123587</v>
      </c>
      <c r="C277">
        <v>53668</v>
      </c>
      <c r="D277">
        <v>92384</v>
      </c>
      <c r="E277">
        <v>136</v>
      </c>
    </row>
    <row r="278" spans="1:5" x14ac:dyDescent="0.2">
      <c r="A278" s="22">
        <v>45203</v>
      </c>
      <c r="B278">
        <v>118900</v>
      </c>
      <c r="C278">
        <v>55865</v>
      </c>
      <c r="D278">
        <v>90331</v>
      </c>
      <c r="E278">
        <v>83</v>
      </c>
    </row>
    <row r="279" spans="1:5" x14ac:dyDescent="0.2">
      <c r="A279" s="22">
        <v>45204</v>
      </c>
      <c r="B279">
        <v>91845</v>
      </c>
      <c r="C279">
        <v>48509</v>
      </c>
      <c r="D279">
        <v>68722</v>
      </c>
      <c r="E279">
        <v>154</v>
      </c>
    </row>
    <row r="280" spans="1:5" x14ac:dyDescent="0.2">
      <c r="A280" s="22">
        <v>45205</v>
      </c>
      <c r="B280">
        <v>123002</v>
      </c>
      <c r="C280">
        <v>60428</v>
      </c>
      <c r="D280">
        <v>98159</v>
      </c>
      <c r="E280">
        <v>172</v>
      </c>
    </row>
    <row r="281" spans="1:5" x14ac:dyDescent="0.2">
      <c r="A281" s="22">
        <v>45206</v>
      </c>
      <c r="B281">
        <v>125836</v>
      </c>
      <c r="C281">
        <v>55326</v>
      </c>
      <c r="D281">
        <v>83482</v>
      </c>
      <c r="E281">
        <v>173</v>
      </c>
    </row>
    <row r="282" spans="1:5" x14ac:dyDescent="0.2">
      <c r="A282" s="22">
        <v>45207</v>
      </c>
      <c r="B282">
        <v>120990</v>
      </c>
      <c r="C282">
        <v>48625</v>
      </c>
      <c r="D282">
        <v>79182</v>
      </c>
      <c r="E282">
        <v>72</v>
      </c>
    </row>
    <row r="283" spans="1:5" x14ac:dyDescent="0.2">
      <c r="A283" s="22">
        <v>45208</v>
      </c>
      <c r="B283">
        <v>128014</v>
      </c>
      <c r="C283">
        <v>59751</v>
      </c>
      <c r="D283">
        <v>93264</v>
      </c>
      <c r="E283">
        <v>126</v>
      </c>
    </row>
    <row r="284" spans="1:5" x14ac:dyDescent="0.2">
      <c r="A284" s="22">
        <v>45209</v>
      </c>
      <c r="B284">
        <v>104004</v>
      </c>
      <c r="C284">
        <v>46562</v>
      </c>
      <c r="D284">
        <v>59635</v>
      </c>
      <c r="E284">
        <v>155</v>
      </c>
    </row>
    <row r="285" spans="1:5" x14ac:dyDescent="0.2">
      <c r="A285" s="22">
        <v>45210</v>
      </c>
      <c r="B285">
        <v>99218</v>
      </c>
      <c r="C285">
        <v>51942</v>
      </c>
      <c r="D285">
        <v>61583</v>
      </c>
      <c r="E285">
        <v>101</v>
      </c>
    </row>
    <row r="286" spans="1:5" x14ac:dyDescent="0.2">
      <c r="A286" s="22">
        <v>45211</v>
      </c>
      <c r="B286">
        <v>124550</v>
      </c>
      <c r="C286">
        <v>63817</v>
      </c>
      <c r="D286">
        <v>83388</v>
      </c>
      <c r="E286">
        <v>84</v>
      </c>
    </row>
    <row r="287" spans="1:5" x14ac:dyDescent="0.2">
      <c r="A287" s="22">
        <v>45212</v>
      </c>
      <c r="B287">
        <v>130804</v>
      </c>
      <c r="C287">
        <v>65263</v>
      </c>
      <c r="D287">
        <v>86368</v>
      </c>
      <c r="E287">
        <v>93</v>
      </c>
    </row>
    <row r="288" spans="1:5" x14ac:dyDescent="0.2">
      <c r="A288" s="22">
        <v>45213</v>
      </c>
      <c r="B288">
        <v>95200</v>
      </c>
      <c r="C288">
        <v>43734</v>
      </c>
      <c r="D288">
        <v>49183</v>
      </c>
      <c r="E288">
        <v>146</v>
      </c>
    </row>
    <row r="289" spans="1:5" x14ac:dyDescent="0.2">
      <c r="A289" s="22">
        <v>45214</v>
      </c>
      <c r="B289">
        <v>126556</v>
      </c>
      <c r="C289">
        <v>46783</v>
      </c>
      <c r="D289">
        <v>86851</v>
      </c>
      <c r="E289">
        <v>176</v>
      </c>
    </row>
    <row r="290" spans="1:5" x14ac:dyDescent="0.2">
      <c r="A290" s="22">
        <v>45215</v>
      </c>
      <c r="B290">
        <v>91969</v>
      </c>
      <c r="C290">
        <v>38272</v>
      </c>
      <c r="D290">
        <v>71929</v>
      </c>
      <c r="E290">
        <v>124</v>
      </c>
    </row>
    <row r="291" spans="1:5" x14ac:dyDescent="0.2">
      <c r="A291" s="22">
        <v>45216</v>
      </c>
      <c r="B291">
        <v>90830</v>
      </c>
      <c r="C291">
        <v>43192</v>
      </c>
      <c r="D291">
        <v>49186</v>
      </c>
      <c r="E291">
        <v>82</v>
      </c>
    </row>
    <row r="292" spans="1:5" x14ac:dyDescent="0.2">
      <c r="A292" s="22">
        <v>45217</v>
      </c>
      <c r="B292">
        <v>115470</v>
      </c>
      <c r="C292">
        <v>56353</v>
      </c>
      <c r="D292">
        <v>79993</v>
      </c>
      <c r="E292">
        <v>133</v>
      </c>
    </row>
    <row r="293" spans="1:5" x14ac:dyDescent="0.2">
      <c r="A293" s="22">
        <v>45218</v>
      </c>
      <c r="B293">
        <v>111468</v>
      </c>
      <c r="C293">
        <v>45308</v>
      </c>
      <c r="D293">
        <v>86004</v>
      </c>
      <c r="E293">
        <v>100</v>
      </c>
    </row>
    <row r="294" spans="1:5" x14ac:dyDescent="0.2">
      <c r="A294" s="22">
        <v>45219</v>
      </c>
      <c r="B294">
        <v>103651</v>
      </c>
      <c r="C294">
        <v>39342</v>
      </c>
      <c r="D294">
        <v>71382</v>
      </c>
      <c r="E294">
        <v>104</v>
      </c>
    </row>
    <row r="295" spans="1:5" x14ac:dyDescent="0.2">
      <c r="A295" s="22">
        <v>45220</v>
      </c>
      <c r="B295">
        <v>92831</v>
      </c>
      <c r="C295">
        <v>44815</v>
      </c>
      <c r="D295">
        <v>67705</v>
      </c>
      <c r="E295">
        <v>116</v>
      </c>
    </row>
    <row r="296" spans="1:5" x14ac:dyDescent="0.2">
      <c r="A296" s="22">
        <v>45221</v>
      </c>
      <c r="B296">
        <v>91348</v>
      </c>
      <c r="C296">
        <v>35434</v>
      </c>
      <c r="D296">
        <v>66243</v>
      </c>
      <c r="E296">
        <v>84</v>
      </c>
    </row>
    <row r="297" spans="1:5" x14ac:dyDescent="0.2">
      <c r="A297" s="22">
        <v>45222</v>
      </c>
      <c r="B297">
        <v>104438</v>
      </c>
      <c r="C297">
        <v>36876</v>
      </c>
      <c r="D297">
        <v>77062</v>
      </c>
      <c r="E297">
        <v>76</v>
      </c>
    </row>
    <row r="298" spans="1:5" x14ac:dyDescent="0.2">
      <c r="A298" s="22">
        <v>45223</v>
      </c>
      <c r="B298">
        <v>91576</v>
      </c>
      <c r="C298">
        <v>37910</v>
      </c>
      <c r="D298">
        <v>69743</v>
      </c>
      <c r="E298">
        <v>176</v>
      </c>
    </row>
    <row r="299" spans="1:5" x14ac:dyDescent="0.2">
      <c r="A299" s="22">
        <v>45224</v>
      </c>
      <c r="B299">
        <v>112466</v>
      </c>
      <c r="C299">
        <v>47827</v>
      </c>
      <c r="D299">
        <v>84201</v>
      </c>
      <c r="E299">
        <v>122</v>
      </c>
    </row>
    <row r="300" spans="1:5" x14ac:dyDescent="0.2">
      <c r="A300" s="22">
        <v>45225</v>
      </c>
      <c r="B300">
        <v>114328</v>
      </c>
      <c r="C300">
        <v>60420</v>
      </c>
      <c r="D300">
        <v>89842</v>
      </c>
      <c r="E300">
        <v>74</v>
      </c>
    </row>
    <row r="301" spans="1:5" x14ac:dyDescent="0.2">
      <c r="A301" s="22">
        <v>45226</v>
      </c>
      <c r="B301">
        <v>115517</v>
      </c>
      <c r="C301">
        <v>46753</v>
      </c>
      <c r="D301">
        <v>82378</v>
      </c>
      <c r="E301">
        <v>129</v>
      </c>
    </row>
    <row r="302" spans="1:5" x14ac:dyDescent="0.2">
      <c r="A302" s="22">
        <v>45227</v>
      </c>
      <c r="B302">
        <v>129804</v>
      </c>
      <c r="C302">
        <v>67896</v>
      </c>
      <c r="D302">
        <v>87804</v>
      </c>
      <c r="E302">
        <v>81</v>
      </c>
    </row>
    <row r="303" spans="1:5" x14ac:dyDescent="0.2">
      <c r="A303" s="22">
        <v>45228</v>
      </c>
      <c r="B303">
        <v>122771</v>
      </c>
      <c r="C303">
        <v>43214</v>
      </c>
      <c r="D303">
        <v>86947</v>
      </c>
      <c r="E303">
        <v>138</v>
      </c>
    </row>
    <row r="304" spans="1:5" x14ac:dyDescent="0.2">
      <c r="A304" s="22">
        <v>45229</v>
      </c>
      <c r="B304">
        <v>120777</v>
      </c>
      <c r="C304">
        <v>55943</v>
      </c>
      <c r="D304">
        <v>60888</v>
      </c>
      <c r="E304">
        <v>164</v>
      </c>
    </row>
    <row r="305" spans="1:5" x14ac:dyDescent="0.2">
      <c r="A305" s="22">
        <v>45230</v>
      </c>
      <c r="B305">
        <v>92141</v>
      </c>
      <c r="C305">
        <v>47530</v>
      </c>
      <c r="D305">
        <v>55478</v>
      </c>
      <c r="E305">
        <v>60</v>
      </c>
    </row>
    <row r="306" spans="1:5" x14ac:dyDescent="0.2">
      <c r="A306" s="22">
        <v>45231</v>
      </c>
      <c r="B306">
        <v>119069</v>
      </c>
      <c r="C306">
        <v>44375</v>
      </c>
      <c r="D306">
        <v>75385</v>
      </c>
      <c r="E306">
        <v>126</v>
      </c>
    </row>
    <row r="307" spans="1:5" x14ac:dyDescent="0.2">
      <c r="A307" s="22">
        <v>45232</v>
      </c>
      <c r="B307">
        <v>91680</v>
      </c>
      <c r="C307">
        <v>35170</v>
      </c>
      <c r="D307">
        <v>58430</v>
      </c>
      <c r="E307">
        <v>147</v>
      </c>
    </row>
    <row r="308" spans="1:5" x14ac:dyDescent="0.2">
      <c r="A308" s="22">
        <v>45233</v>
      </c>
      <c r="B308">
        <v>131181</v>
      </c>
      <c r="C308">
        <v>49261</v>
      </c>
      <c r="D308">
        <v>97590</v>
      </c>
      <c r="E308">
        <v>85</v>
      </c>
    </row>
    <row r="309" spans="1:5" x14ac:dyDescent="0.2">
      <c r="A309" s="22">
        <v>45234</v>
      </c>
      <c r="B309">
        <v>112501</v>
      </c>
      <c r="C309">
        <v>47705</v>
      </c>
      <c r="D309">
        <v>59038</v>
      </c>
      <c r="E309">
        <v>87</v>
      </c>
    </row>
    <row r="310" spans="1:5" x14ac:dyDescent="0.2">
      <c r="A310" s="22">
        <v>45235</v>
      </c>
      <c r="B310">
        <v>105024</v>
      </c>
      <c r="C310">
        <v>51059</v>
      </c>
      <c r="D310">
        <v>62157</v>
      </c>
      <c r="E310">
        <v>179</v>
      </c>
    </row>
    <row r="311" spans="1:5" x14ac:dyDescent="0.2">
      <c r="A311" s="22">
        <v>45236</v>
      </c>
      <c r="B311">
        <v>103066</v>
      </c>
      <c r="C311">
        <v>51113</v>
      </c>
      <c r="D311">
        <v>67538</v>
      </c>
      <c r="E311">
        <v>96</v>
      </c>
    </row>
    <row r="312" spans="1:5" x14ac:dyDescent="0.2">
      <c r="A312" s="22">
        <v>45237</v>
      </c>
      <c r="B312">
        <v>110675</v>
      </c>
      <c r="C312">
        <v>48760</v>
      </c>
      <c r="D312">
        <v>73662</v>
      </c>
      <c r="E312">
        <v>171</v>
      </c>
    </row>
    <row r="313" spans="1:5" x14ac:dyDescent="0.2">
      <c r="A313" s="22">
        <v>45238</v>
      </c>
      <c r="B313">
        <v>94171</v>
      </c>
      <c r="C313">
        <v>36857</v>
      </c>
      <c r="D313">
        <v>48747</v>
      </c>
      <c r="E313">
        <v>137</v>
      </c>
    </row>
    <row r="314" spans="1:5" x14ac:dyDescent="0.2">
      <c r="A314" s="22">
        <v>45239</v>
      </c>
      <c r="B314">
        <v>119411</v>
      </c>
      <c r="C314">
        <v>59642</v>
      </c>
      <c r="D314">
        <v>79346</v>
      </c>
      <c r="E314">
        <v>140</v>
      </c>
    </row>
    <row r="315" spans="1:5" x14ac:dyDescent="0.2">
      <c r="A315" s="22">
        <v>45240</v>
      </c>
      <c r="B315">
        <v>101938</v>
      </c>
      <c r="C315">
        <v>55392</v>
      </c>
      <c r="D315">
        <v>73697</v>
      </c>
      <c r="E315">
        <v>132</v>
      </c>
    </row>
    <row r="316" spans="1:5" x14ac:dyDescent="0.2">
      <c r="A316" s="22">
        <v>45241</v>
      </c>
      <c r="B316">
        <v>128019</v>
      </c>
      <c r="C316">
        <v>62922</v>
      </c>
      <c r="D316">
        <v>77411</v>
      </c>
      <c r="E316">
        <v>119</v>
      </c>
    </row>
    <row r="317" spans="1:5" x14ac:dyDescent="0.2">
      <c r="A317" s="22">
        <v>45242</v>
      </c>
      <c r="B317">
        <v>98848</v>
      </c>
      <c r="C317">
        <v>47375</v>
      </c>
      <c r="D317">
        <v>50373</v>
      </c>
      <c r="E317">
        <v>98</v>
      </c>
    </row>
    <row r="318" spans="1:5" x14ac:dyDescent="0.2">
      <c r="A318" s="22">
        <v>45243</v>
      </c>
      <c r="B318">
        <v>126236</v>
      </c>
      <c r="C318">
        <v>52760</v>
      </c>
      <c r="D318">
        <v>80289</v>
      </c>
      <c r="E318">
        <v>153</v>
      </c>
    </row>
    <row r="319" spans="1:5" x14ac:dyDescent="0.2">
      <c r="A319" s="22">
        <v>45244</v>
      </c>
      <c r="B319">
        <v>129797</v>
      </c>
      <c r="C319">
        <v>69967</v>
      </c>
      <c r="D319">
        <v>72938</v>
      </c>
      <c r="E319">
        <v>114</v>
      </c>
    </row>
    <row r="320" spans="1:5" x14ac:dyDescent="0.2">
      <c r="A320" s="22">
        <v>45245</v>
      </c>
      <c r="B320">
        <v>125412</v>
      </c>
      <c r="C320">
        <v>56448</v>
      </c>
      <c r="D320">
        <v>89646</v>
      </c>
      <c r="E320">
        <v>114</v>
      </c>
    </row>
    <row r="321" spans="1:5" x14ac:dyDescent="0.2">
      <c r="A321" s="22">
        <v>45246</v>
      </c>
      <c r="B321">
        <v>105139</v>
      </c>
      <c r="C321">
        <v>45779</v>
      </c>
      <c r="D321">
        <v>81190</v>
      </c>
      <c r="E321">
        <v>112</v>
      </c>
    </row>
    <row r="322" spans="1:5" x14ac:dyDescent="0.2">
      <c r="A322" s="22">
        <v>45247</v>
      </c>
      <c r="B322">
        <v>125047</v>
      </c>
      <c r="C322">
        <v>66503</v>
      </c>
      <c r="D322">
        <v>99717</v>
      </c>
      <c r="E322">
        <v>159</v>
      </c>
    </row>
    <row r="323" spans="1:5" x14ac:dyDescent="0.2">
      <c r="A323" s="22">
        <v>45248</v>
      </c>
      <c r="B323">
        <v>116198</v>
      </c>
      <c r="C323">
        <v>51687</v>
      </c>
      <c r="D323">
        <v>78346</v>
      </c>
      <c r="E323">
        <v>136</v>
      </c>
    </row>
    <row r="324" spans="1:5" x14ac:dyDescent="0.2">
      <c r="A324" s="22">
        <v>45249</v>
      </c>
      <c r="B324">
        <v>115576</v>
      </c>
      <c r="C324">
        <v>60666</v>
      </c>
      <c r="D324">
        <v>79065</v>
      </c>
      <c r="E324">
        <v>158</v>
      </c>
    </row>
    <row r="325" spans="1:5" x14ac:dyDescent="0.2">
      <c r="A325" s="22">
        <v>45250</v>
      </c>
      <c r="B325">
        <v>127427</v>
      </c>
      <c r="C325">
        <v>45108</v>
      </c>
      <c r="D325">
        <v>94474</v>
      </c>
      <c r="E325">
        <v>131</v>
      </c>
    </row>
    <row r="326" spans="1:5" x14ac:dyDescent="0.2">
      <c r="A326" s="22">
        <v>45251</v>
      </c>
      <c r="B326">
        <v>129325</v>
      </c>
      <c r="C326">
        <v>48849</v>
      </c>
      <c r="D326">
        <v>69472</v>
      </c>
      <c r="E326">
        <v>145</v>
      </c>
    </row>
    <row r="327" spans="1:5" x14ac:dyDescent="0.2">
      <c r="A327" s="22">
        <v>45252</v>
      </c>
      <c r="B327">
        <v>120549</v>
      </c>
      <c r="C327">
        <v>61466</v>
      </c>
      <c r="D327">
        <v>70400</v>
      </c>
      <c r="E327">
        <v>77</v>
      </c>
    </row>
    <row r="328" spans="1:5" x14ac:dyDescent="0.2">
      <c r="A328" s="22">
        <v>45253</v>
      </c>
      <c r="B328">
        <v>119375</v>
      </c>
      <c r="C328">
        <v>41809</v>
      </c>
      <c r="D328">
        <v>82312</v>
      </c>
      <c r="E328">
        <v>172</v>
      </c>
    </row>
    <row r="329" spans="1:5" x14ac:dyDescent="0.2">
      <c r="A329" s="22">
        <v>45254</v>
      </c>
      <c r="B329">
        <v>122811</v>
      </c>
      <c r="C329">
        <v>51188</v>
      </c>
      <c r="D329">
        <v>87967</v>
      </c>
      <c r="E329">
        <v>109</v>
      </c>
    </row>
    <row r="330" spans="1:5" x14ac:dyDescent="0.2">
      <c r="A330" s="22">
        <v>45255</v>
      </c>
      <c r="B330">
        <v>110523</v>
      </c>
      <c r="C330">
        <v>58077</v>
      </c>
      <c r="D330">
        <v>64784</v>
      </c>
      <c r="E330">
        <v>160</v>
      </c>
    </row>
    <row r="331" spans="1:5" x14ac:dyDescent="0.2">
      <c r="A331" s="22">
        <v>45256</v>
      </c>
      <c r="B331">
        <v>121766</v>
      </c>
      <c r="C331">
        <v>49269</v>
      </c>
      <c r="D331">
        <v>78507</v>
      </c>
      <c r="E331">
        <v>168</v>
      </c>
    </row>
    <row r="332" spans="1:5" x14ac:dyDescent="0.2">
      <c r="A332" s="22">
        <v>45257</v>
      </c>
      <c r="B332">
        <v>129097</v>
      </c>
      <c r="C332">
        <v>66018</v>
      </c>
      <c r="D332">
        <v>70145</v>
      </c>
      <c r="E332">
        <v>143</v>
      </c>
    </row>
    <row r="333" spans="1:5" x14ac:dyDescent="0.2">
      <c r="A333" s="22">
        <v>45258</v>
      </c>
      <c r="B333">
        <v>117498</v>
      </c>
      <c r="C333">
        <v>50290</v>
      </c>
      <c r="D333">
        <v>81980</v>
      </c>
      <c r="E333">
        <v>131</v>
      </c>
    </row>
    <row r="334" spans="1:5" x14ac:dyDescent="0.2">
      <c r="A334" s="22">
        <v>45259</v>
      </c>
      <c r="B334">
        <v>99906</v>
      </c>
      <c r="C334">
        <v>42476</v>
      </c>
      <c r="D334">
        <v>76648</v>
      </c>
      <c r="E334">
        <v>72</v>
      </c>
    </row>
    <row r="335" spans="1:5" x14ac:dyDescent="0.2">
      <c r="A335" s="22">
        <v>45260</v>
      </c>
      <c r="B335">
        <v>127218</v>
      </c>
      <c r="C335">
        <v>64199</v>
      </c>
      <c r="D335">
        <v>80692</v>
      </c>
      <c r="E335">
        <v>76</v>
      </c>
    </row>
    <row r="336" spans="1:5" x14ac:dyDescent="0.2">
      <c r="A336" s="22">
        <v>45261</v>
      </c>
      <c r="B336">
        <v>125749</v>
      </c>
      <c r="C336">
        <v>44323</v>
      </c>
      <c r="D336">
        <v>75918</v>
      </c>
      <c r="E336">
        <v>164</v>
      </c>
    </row>
    <row r="337" spans="1:5" x14ac:dyDescent="0.2">
      <c r="A337" s="22">
        <v>45262</v>
      </c>
      <c r="B337">
        <v>100496</v>
      </c>
      <c r="C337">
        <v>48234</v>
      </c>
      <c r="D337">
        <v>79205</v>
      </c>
      <c r="E337">
        <v>163</v>
      </c>
    </row>
    <row r="338" spans="1:5" x14ac:dyDescent="0.2">
      <c r="A338" s="22">
        <v>45263</v>
      </c>
      <c r="B338">
        <v>100696</v>
      </c>
      <c r="C338">
        <v>50768</v>
      </c>
      <c r="D338">
        <v>72574</v>
      </c>
      <c r="E338">
        <v>93</v>
      </c>
    </row>
    <row r="339" spans="1:5" x14ac:dyDescent="0.2">
      <c r="A339" s="22">
        <v>45264</v>
      </c>
      <c r="B339">
        <v>111462</v>
      </c>
      <c r="C339">
        <v>46884</v>
      </c>
      <c r="D339">
        <v>62161</v>
      </c>
      <c r="E339">
        <v>82</v>
      </c>
    </row>
    <row r="340" spans="1:5" x14ac:dyDescent="0.2">
      <c r="A340" s="22">
        <v>45265</v>
      </c>
      <c r="B340">
        <v>96726</v>
      </c>
      <c r="C340">
        <v>42453</v>
      </c>
      <c r="D340">
        <v>71043</v>
      </c>
      <c r="E340">
        <v>129</v>
      </c>
    </row>
    <row r="341" spans="1:5" x14ac:dyDescent="0.2">
      <c r="A341" s="22">
        <v>45266</v>
      </c>
      <c r="B341">
        <v>106717</v>
      </c>
      <c r="C341">
        <v>39665</v>
      </c>
      <c r="D341">
        <v>60234</v>
      </c>
      <c r="E341">
        <v>73</v>
      </c>
    </row>
    <row r="342" spans="1:5" x14ac:dyDescent="0.2">
      <c r="A342" s="22">
        <v>45267</v>
      </c>
      <c r="B342">
        <v>91990</v>
      </c>
      <c r="C342">
        <v>36836</v>
      </c>
      <c r="D342">
        <v>54773</v>
      </c>
      <c r="E342">
        <v>78</v>
      </c>
    </row>
    <row r="343" spans="1:5" x14ac:dyDescent="0.2">
      <c r="A343" s="22">
        <v>45268</v>
      </c>
      <c r="B343">
        <v>113351</v>
      </c>
      <c r="C343">
        <v>58340</v>
      </c>
      <c r="D343">
        <v>81890</v>
      </c>
      <c r="E343">
        <v>157</v>
      </c>
    </row>
    <row r="344" spans="1:5" x14ac:dyDescent="0.2">
      <c r="A344" s="22">
        <v>45269</v>
      </c>
      <c r="B344">
        <v>102434</v>
      </c>
      <c r="C344">
        <v>40736</v>
      </c>
      <c r="D344">
        <v>56636</v>
      </c>
      <c r="E344">
        <v>124</v>
      </c>
    </row>
    <row r="345" spans="1:5" x14ac:dyDescent="0.2">
      <c r="A345" s="22">
        <v>45270</v>
      </c>
      <c r="B345">
        <v>112206</v>
      </c>
      <c r="C345">
        <v>55434</v>
      </c>
      <c r="D345">
        <v>66909</v>
      </c>
      <c r="E345">
        <v>113</v>
      </c>
    </row>
    <row r="346" spans="1:5" x14ac:dyDescent="0.2">
      <c r="A346" s="22">
        <v>45271</v>
      </c>
      <c r="B346">
        <v>107189</v>
      </c>
      <c r="C346">
        <v>48110</v>
      </c>
      <c r="D346">
        <v>63687</v>
      </c>
      <c r="E346">
        <v>65</v>
      </c>
    </row>
    <row r="347" spans="1:5" x14ac:dyDescent="0.2">
      <c r="A347" s="22">
        <v>45272</v>
      </c>
      <c r="B347">
        <v>130142</v>
      </c>
      <c r="C347">
        <v>66355</v>
      </c>
      <c r="D347">
        <v>79836</v>
      </c>
      <c r="E347">
        <v>62</v>
      </c>
    </row>
    <row r="348" spans="1:5" x14ac:dyDescent="0.2">
      <c r="A348" s="22">
        <v>45273</v>
      </c>
      <c r="B348">
        <v>131073</v>
      </c>
      <c r="C348">
        <v>66569</v>
      </c>
      <c r="D348">
        <v>74846</v>
      </c>
      <c r="E348">
        <v>173</v>
      </c>
    </row>
    <row r="349" spans="1:5" x14ac:dyDescent="0.2">
      <c r="A349" s="22">
        <v>45274</v>
      </c>
      <c r="B349">
        <v>95522</v>
      </c>
      <c r="C349">
        <v>43091</v>
      </c>
      <c r="D349">
        <v>63833</v>
      </c>
      <c r="E349">
        <v>74</v>
      </c>
    </row>
    <row r="350" spans="1:5" x14ac:dyDescent="0.2">
      <c r="A350" s="22">
        <v>45275</v>
      </c>
      <c r="B350">
        <v>128912</v>
      </c>
      <c r="C350">
        <v>58984</v>
      </c>
      <c r="D350">
        <v>87170</v>
      </c>
      <c r="E350">
        <v>130</v>
      </c>
    </row>
    <row r="351" spans="1:5" x14ac:dyDescent="0.2">
      <c r="A351" s="22">
        <v>45276</v>
      </c>
      <c r="B351">
        <v>109891</v>
      </c>
      <c r="C351">
        <v>48016</v>
      </c>
      <c r="D351">
        <v>85058</v>
      </c>
      <c r="E351">
        <v>173</v>
      </c>
    </row>
    <row r="352" spans="1:5" x14ac:dyDescent="0.2">
      <c r="A352" s="22">
        <v>45277</v>
      </c>
      <c r="B352">
        <v>108179</v>
      </c>
      <c r="C352">
        <v>57199</v>
      </c>
      <c r="D352">
        <v>59385</v>
      </c>
      <c r="E352">
        <v>68</v>
      </c>
    </row>
    <row r="353" spans="1:5" x14ac:dyDescent="0.2">
      <c r="A353" s="22">
        <v>45278</v>
      </c>
      <c r="B353">
        <v>111373</v>
      </c>
      <c r="C353">
        <v>39013</v>
      </c>
      <c r="D353">
        <v>87151</v>
      </c>
      <c r="E353">
        <v>153</v>
      </c>
    </row>
    <row r="354" spans="1:5" x14ac:dyDescent="0.2">
      <c r="A354" s="22">
        <v>45279</v>
      </c>
      <c r="B354">
        <v>118255</v>
      </c>
      <c r="C354">
        <v>62933</v>
      </c>
      <c r="D354">
        <v>77558</v>
      </c>
      <c r="E354">
        <v>83</v>
      </c>
    </row>
    <row r="355" spans="1:5" x14ac:dyDescent="0.2">
      <c r="A355" s="22">
        <v>45280</v>
      </c>
      <c r="B355">
        <v>107221</v>
      </c>
      <c r="C355">
        <v>46745</v>
      </c>
      <c r="D355">
        <v>83066</v>
      </c>
      <c r="E355">
        <v>136</v>
      </c>
    </row>
    <row r="356" spans="1:5" x14ac:dyDescent="0.2">
      <c r="A356" s="22">
        <v>45281</v>
      </c>
      <c r="B356">
        <v>125722</v>
      </c>
      <c r="C356">
        <v>66898</v>
      </c>
      <c r="D356">
        <v>72989</v>
      </c>
      <c r="E356">
        <v>139</v>
      </c>
    </row>
    <row r="357" spans="1:5" x14ac:dyDescent="0.2">
      <c r="A357" s="22">
        <v>45282</v>
      </c>
      <c r="B357">
        <v>115022</v>
      </c>
      <c r="C357">
        <v>61081</v>
      </c>
      <c r="D357">
        <v>77865</v>
      </c>
      <c r="E357">
        <v>75</v>
      </c>
    </row>
    <row r="358" spans="1:5" x14ac:dyDescent="0.2">
      <c r="A358" s="22">
        <v>45283</v>
      </c>
      <c r="B358">
        <v>118309</v>
      </c>
      <c r="C358">
        <v>48875</v>
      </c>
      <c r="D358">
        <v>90906</v>
      </c>
      <c r="E358">
        <v>99</v>
      </c>
    </row>
    <row r="359" spans="1:5" x14ac:dyDescent="0.2">
      <c r="A359" s="22">
        <v>45284</v>
      </c>
      <c r="B359">
        <v>111283</v>
      </c>
      <c r="C359">
        <v>41164</v>
      </c>
      <c r="D359">
        <v>83622</v>
      </c>
      <c r="E359">
        <v>135</v>
      </c>
    </row>
    <row r="360" spans="1:5" x14ac:dyDescent="0.2">
      <c r="A360" s="22">
        <v>45285</v>
      </c>
      <c r="B360">
        <v>132018</v>
      </c>
      <c r="C360">
        <v>46326</v>
      </c>
      <c r="D360">
        <v>98284</v>
      </c>
      <c r="E360">
        <v>106</v>
      </c>
    </row>
    <row r="361" spans="1:5" x14ac:dyDescent="0.2">
      <c r="A361" s="22">
        <v>45286</v>
      </c>
      <c r="B361">
        <v>105337</v>
      </c>
      <c r="C361">
        <v>49488</v>
      </c>
      <c r="D361">
        <v>65438</v>
      </c>
      <c r="E361">
        <v>162</v>
      </c>
    </row>
    <row r="362" spans="1:5" x14ac:dyDescent="0.2">
      <c r="A362" s="22">
        <v>45287</v>
      </c>
      <c r="B362">
        <v>121414</v>
      </c>
      <c r="C362">
        <v>44376</v>
      </c>
      <c r="D362">
        <v>74177</v>
      </c>
      <c r="E362">
        <v>89</v>
      </c>
    </row>
    <row r="363" spans="1:5" x14ac:dyDescent="0.2">
      <c r="A363" s="22">
        <v>45288</v>
      </c>
      <c r="B363">
        <v>102197</v>
      </c>
      <c r="C363">
        <v>36854</v>
      </c>
      <c r="D363">
        <v>62096</v>
      </c>
      <c r="E363">
        <v>138</v>
      </c>
    </row>
    <row r="364" spans="1:5" x14ac:dyDescent="0.2">
      <c r="A364" s="22">
        <v>45289</v>
      </c>
      <c r="B364">
        <v>114957</v>
      </c>
      <c r="C364">
        <v>61035</v>
      </c>
      <c r="D364">
        <v>71132</v>
      </c>
      <c r="E364">
        <v>155</v>
      </c>
    </row>
    <row r="365" spans="1:5" x14ac:dyDescent="0.2">
      <c r="A365" s="22">
        <v>45290</v>
      </c>
      <c r="B365">
        <v>120311</v>
      </c>
      <c r="C365">
        <v>64469</v>
      </c>
      <c r="D365">
        <v>85710</v>
      </c>
      <c r="E365">
        <v>126</v>
      </c>
    </row>
    <row r="366" spans="1:5" x14ac:dyDescent="0.2">
      <c r="A366" s="22">
        <v>45291</v>
      </c>
      <c r="B366">
        <v>112842</v>
      </c>
      <c r="C366">
        <v>61989</v>
      </c>
      <c r="D366">
        <v>86359</v>
      </c>
      <c r="E366">
        <v>172</v>
      </c>
    </row>
    <row r="367" spans="1:5" x14ac:dyDescent="0.2">
      <c r="A367" s="22">
        <v>45292</v>
      </c>
      <c r="B367">
        <v>86622</v>
      </c>
      <c r="C367">
        <v>40937</v>
      </c>
      <c r="D367">
        <v>66970</v>
      </c>
      <c r="E367">
        <v>81</v>
      </c>
    </row>
    <row r="368" spans="1:5" x14ac:dyDescent="0.2">
      <c r="A368" s="22">
        <v>45293</v>
      </c>
      <c r="B368">
        <v>82853</v>
      </c>
      <c r="C368">
        <v>40835</v>
      </c>
      <c r="D368">
        <v>51195</v>
      </c>
      <c r="E368">
        <v>88</v>
      </c>
    </row>
    <row r="369" spans="1:5" x14ac:dyDescent="0.2">
      <c r="A369" s="22">
        <v>45294</v>
      </c>
      <c r="B369">
        <v>83572</v>
      </c>
      <c r="C369">
        <v>36165</v>
      </c>
      <c r="D369">
        <v>47114</v>
      </c>
      <c r="E369">
        <v>127</v>
      </c>
    </row>
    <row r="370" spans="1:5" x14ac:dyDescent="0.2">
      <c r="A370" s="22">
        <v>45295</v>
      </c>
      <c r="B370">
        <v>75141</v>
      </c>
      <c r="C370">
        <v>29608</v>
      </c>
      <c r="D370">
        <v>39709</v>
      </c>
      <c r="E370">
        <v>97</v>
      </c>
    </row>
    <row r="371" spans="1:5" x14ac:dyDescent="0.2">
      <c r="A371" s="22">
        <v>45296</v>
      </c>
      <c r="B371">
        <v>75726</v>
      </c>
      <c r="C371">
        <v>37849</v>
      </c>
      <c r="D371">
        <v>51426</v>
      </c>
      <c r="E371">
        <v>130</v>
      </c>
    </row>
    <row r="372" spans="1:5" x14ac:dyDescent="0.2">
      <c r="A372" s="22">
        <v>45297</v>
      </c>
      <c r="B372">
        <v>77632</v>
      </c>
      <c r="C372">
        <v>31275</v>
      </c>
      <c r="D372">
        <v>44522</v>
      </c>
      <c r="E372">
        <v>110</v>
      </c>
    </row>
    <row r="373" spans="1:5" x14ac:dyDescent="0.2">
      <c r="A373" s="22">
        <v>45298</v>
      </c>
      <c r="B373">
        <v>85504</v>
      </c>
      <c r="C373">
        <v>43255</v>
      </c>
      <c r="D373">
        <v>55967</v>
      </c>
      <c r="E373">
        <v>66</v>
      </c>
    </row>
    <row r="374" spans="1:5" x14ac:dyDescent="0.2">
      <c r="A374" s="22">
        <v>45299</v>
      </c>
      <c r="B374">
        <v>86226</v>
      </c>
      <c r="C374">
        <v>39163</v>
      </c>
      <c r="D374">
        <v>60763</v>
      </c>
      <c r="E374">
        <v>139</v>
      </c>
    </row>
    <row r="375" spans="1:5" x14ac:dyDescent="0.2">
      <c r="A375" s="22">
        <v>45300</v>
      </c>
      <c r="B375">
        <v>88892</v>
      </c>
      <c r="C375">
        <v>39276</v>
      </c>
      <c r="D375">
        <v>66269</v>
      </c>
      <c r="E375">
        <v>99</v>
      </c>
    </row>
    <row r="376" spans="1:5" x14ac:dyDescent="0.2">
      <c r="A376" s="22">
        <v>45301</v>
      </c>
      <c r="B376">
        <v>89504</v>
      </c>
      <c r="C376">
        <v>47384</v>
      </c>
      <c r="D376">
        <v>67481</v>
      </c>
      <c r="E376">
        <v>125</v>
      </c>
    </row>
    <row r="377" spans="1:5" x14ac:dyDescent="0.2">
      <c r="A377" s="22">
        <v>45302</v>
      </c>
      <c r="B377">
        <v>88265</v>
      </c>
      <c r="C377">
        <v>36230</v>
      </c>
      <c r="D377">
        <v>56457</v>
      </c>
      <c r="E377">
        <v>121</v>
      </c>
    </row>
    <row r="378" spans="1:5" x14ac:dyDescent="0.2">
      <c r="A378" s="22">
        <v>45303</v>
      </c>
      <c r="B378">
        <v>76535</v>
      </c>
      <c r="C378">
        <v>37226</v>
      </c>
      <c r="D378">
        <v>38514</v>
      </c>
      <c r="E378">
        <v>137</v>
      </c>
    </row>
    <row r="379" spans="1:5" x14ac:dyDescent="0.2">
      <c r="A379" s="22">
        <v>45304</v>
      </c>
      <c r="B379">
        <v>89892</v>
      </c>
      <c r="C379">
        <v>37278</v>
      </c>
      <c r="D379">
        <v>67001</v>
      </c>
      <c r="E379">
        <v>61</v>
      </c>
    </row>
    <row r="380" spans="1:5" x14ac:dyDescent="0.2">
      <c r="A380" s="22">
        <v>45305</v>
      </c>
      <c r="B380">
        <v>88506</v>
      </c>
      <c r="C380">
        <v>38870</v>
      </c>
      <c r="D380">
        <v>48016</v>
      </c>
      <c r="E380">
        <v>107</v>
      </c>
    </row>
    <row r="381" spans="1:5" x14ac:dyDescent="0.2">
      <c r="A381" s="22">
        <v>45306</v>
      </c>
      <c r="B381">
        <v>82542</v>
      </c>
      <c r="C381">
        <v>30129</v>
      </c>
      <c r="D381">
        <v>60809</v>
      </c>
      <c r="E381">
        <v>107</v>
      </c>
    </row>
    <row r="382" spans="1:5" x14ac:dyDescent="0.2">
      <c r="A382" s="22">
        <v>45307</v>
      </c>
      <c r="B382">
        <v>78816</v>
      </c>
      <c r="C382">
        <v>28033</v>
      </c>
      <c r="D382">
        <v>49872</v>
      </c>
      <c r="E382">
        <v>149</v>
      </c>
    </row>
    <row r="383" spans="1:5" x14ac:dyDescent="0.2">
      <c r="A383" s="22">
        <v>45308</v>
      </c>
      <c r="B383">
        <v>78135</v>
      </c>
      <c r="C383">
        <v>31094</v>
      </c>
      <c r="D383">
        <v>61762</v>
      </c>
      <c r="E383">
        <v>71</v>
      </c>
    </row>
    <row r="384" spans="1:5" x14ac:dyDescent="0.2">
      <c r="A384" s="22">
        <v>45309</v>
      </c>
      <c r="B384">
        <v>89487</v>
      </c>
      <c r="C384">
        <v>34344</v>
      </c>
      <c r="D384">
        <v>68323</v>
      </c>
      <c r="E384">
        <v>100</v>
      </c>
    </row>
    <row r="385" spans="1:5" x14ac:dyDescent="0.2">
      <c r="A385" s="22">
        <v>45310</v>
      </c>
      <c r="B385">
        <v>75754</v>
      </c>
      <c r="C385">
        <v>38708</v>
      </c>
      <c r="D385">
        <v>40283</v>
      </c>
      <c r="E385">
        <v>139</v>
      </c>
    </row>
    <row r="386" spans="1:5" x14ac:dyDescent="0.2">
      <c r="A386" s="22">
        <v>45311</v>
      </c>
      <c r="B386">
        <v>82758</v>
      </c>
      <c r="C386">
        <v>29446</v>
      </c>
      <c r="D386">
        <v>57275</v>
      </c>
      <c r="E386">
        <v>138</v>
      </c>
    </row>
    <row r="387" spans="1:5" x14ac:dyDescent="0.2">
      <c r="A387" s="22">
        <v>45312</v>
      </c>
      <c r="B387">
        <v>84816</v>
      </c>
      <c r="C387">
        <v>36375</v>
      </c>
      <c r="D387">
        <v>59245</v>
      </c>
      <c r="E387">
        <v>67</v>
      </c>
    </row>
    <row r="388" spans="1:5" x14ac:dyDescent="0.2">
      <c r="A388" s="22">
        <v>45313</v>
      </c>
      <c r="B388">
        <v>76464</v>
      </c>
      <c r="C388">
        <v>40955</v>
      </c>
      <c r="D388">
        <v>44915</v>
      </c>
      <c r="E388">
        <v>79</v>
      </c>
    </row>
    <row r="389" spans="1:5" x14ac:dyDescent="0.2">
      <c r="A389" s="22">
        <v>45314</v>
      </c>
      <c r="B389">
        <v>82611</v>
      </c>
      <c r="C389">
        <v>35216</v>
      </c>
      <c r="D389">
        <v>60972</v>
      </c>
      <c r="E389">
        <v>101</v>
      </c>
    </row>
    <row r="390" spans="1:5" x14ac:dyDescent="0.2">
      <c r="A390" s="22">
        <v>45315</v>
      </c>
      <c r="B390">
        <v>76463</v>
      </c>
      <c r="C390">
        <v>30287</v>
      </c>
      <c r="D390">
        <v>43925</v>
      </c>
      <c r="E390">
        <v>113</v>
      </c>
    </row>
    <row r="391" spans="1:5" x14ac:dyDescent="0.2">
      <c r="A391" s="22">
        <v>45316</v>
      </c>
      <c r="B391">
        <v>80489</v>
      </c>
      <c r="C391">
        <v>32297</v>
      </c>
      <c r="D391">
        <v>40998</v>
      </c>
      <c r="E391">
        <v>66</v>
      </c>
    </row>
    <row r="392" spans="1:5" x14ac:dyDescent="0.2">
      <c r="A392" s="22">
        <v>45317</v>
      </c>
      <c r="B392">
        <v>89824</v>
      </c>
      <c r="C392">
        <v>37731</v>
      </c>
      <c r="D392">
        <v>66455</v>
      </c>
      <c r="E392">
        <v>92</v>
      </c>
    </row>
    <row r="393" spans="1:5" x14ac:dyDescent="0.2">
      <c r="A393" s="22">
        <v>45318</v>
      </c>
      <c r="B393">
        <v>80137</v>
      </c>
      <c r="C393">
        <v>39272</v>
      </c>
      <c r="D393">
        <v>46079</v>
      </c>
      <c r="E393">
        <v>149</v>
      </c>
    </row>
    <row r="394" spans="1:5" x14ac:dyDescent="0.2">
      <c r="A394" s="22">
        <v>45319</v>
      </c>
      <c r="B394">
        <v>78878</v>
      </c>
      <c r="C394">
        <v>42767</v>
      </c>
      <c r="D394">
        <v>53725</v>
      </c>
      <c r="E394">
        <v>99</v>
      </c>
    </row>
    <row r="395" spans="1:5" x14ac:dyDescent="0.2">
      <c r="A395" s="22">
        <v>45320</v>
      </c>
      <c r="B395">
        <v>82008</v>
      </c>
      <c r="C395">
        <v>30593</v>
      </c>
      <c r="D395">
        <v>53324</v>
      </c>
      <c r="E395">
        <v>143</v>
      </c>
    </row>
    <row r="396" spans="1:5" x14ac:dyDescent="0.2">
      <c r="A396" s="22">
        <v>45321</v>
      </c>
      <c r="B396">
        <v>88731</v>
      </c>
      <c r="C396">
        <v>48197</v>
      </c>
      <c r="D396">
        <v>64801</v>
      </c>
      <c r="E396">
        <v>68</v>
      </c>
    </row>
    <row r="397" spans="1:5" x14ac:dyDescent="0.2">
      <c r="A397" s="22">
        <v>45322</v>
      </c>
      <c r="B397">
        <v>89566</v>
      </c>
      <c r="C397">
        <v>48853</v>
      </c>
      <c r="D397">
        <v>51627</v>
      </c>
      <c r="E397">
        <v>125</v>
      </c>
    </row>
    <row r="398" spans="1:5" x14ac:dyDescent="0.2">
      <c r="A398" s="22">
        <v>45323</v>
      </c>
      <c r="B398">
        <v>75590</v>
      </c>
      <c r="C398">
        <v>37553</v>
      </c>
      <c r="D398">
        <v>39047</v>
      </c>
      <c r="E398">
        <v>158</v>
      </c>
    </row>
    <row r="399" spans="1:5" x14ac:dyDescent="0.2">
      <c r="A399" s="22">
        <v>45324</v>
      </c>
      <c r="B399">
        <v>87022</v>
      </c>
      <c r="C399">
        <v>36511</v>
      </c>
      <c r="D399">
        <v>49771</v>
      </c>
      <c r="E399">
        <v>88</v>
      </c>
    </row>
    <row r="400" spans="1:5" x14ac:dyDescent="0.2">
      <c r="A400" s="22">
        <v>45325</v>
      </c>
      <c r="B400">
        <v>88430</v>
      </c>
      <c r="C400">
        <v>45859</v>
      </c>
      <c r="D400">
        <v>55966</v>
      </c>
      <c r="E400">
        <v>153</v>
      </c>
    </row>
    <row r="401" spans="1:5" x14ac:dyDescent="0.2">
      <c r="A401" s="22">
        <v>45326</v>
      </c>
      <c r="B401">
        <v>79142</v>
      </c>
      <c r="C401">
        <v>41944</v>
      </c>
      <c r="D401">
        <v>55818</v>
      </c>
      <c r="E401">
        <v>111</v>
      </c>
    </row>
    <row r="402" spans="1:5" x14ac:dyDescent="0.2">
      <c r="A402" s="22">
        <v>45327</v>
      </c>
      <c r="B402">
        <v>82687</v>
      </c>
      <c r="C402">
        <v>42298</v>
      </c>
      <c r="D402">
        <v>41716</v>
      </c>
      <c r="E402">
        <v>79</v>
      </c>
    </row>
    <row r="403" spans="1:5" x14ac:dyDescent="0.2">
      <c r="A403" s="22">
        <v>45328</v>
      </c>
      <c r="B403">
        <v>77178</v>
      </c>
      <c r="C403">
        <v>28442</v>
      </c>
      <c r="D403">
        <v>55938</v>
      </c>
      <c r="E403">
        <v>94</v>
      </c>
    </row>
    <row r="404" spans="1:5" x14ac:dyDescent="0.2">
      <c r="A404" s="22">
        <v>45329</v>
      </c>
      <c r="B404">
        <v>79008</v>
      </c>
      <c r="C404">
        <v>34718</v>
      </c>
      <c r="D404">
        <v>54272</v>
      </c>
      <c r="E404">
        <v>83</v>
      </c>
    </row>
    <row r="405" spans="1:5" x14ac:dyDescent="0.2">
      <c r="A405" s="22">
        <v>45330</v>
      </c>
      <c r="B405">
        <v>76125</v>
      </c>
      <c r="C405">
        <v>39005</v>
      </c>
      <c r="D405">
        <v>52044</v>
      </c>
      <c r="E405">
        <v>85</v>
      </c>
    </row>
    <row r="406" spans="1:5" x14ac:dyDescent="0.2">
      <c r="A406" s="22">
        <v>45331</v>
      </c>
      <c r="B406">
        <v>77233</v>
      </c>
      <c r="C406">
        <v>30101</v>
      </c>
      <c r="D406">
        <v>61541</v>
      </c>
      <c r="E406">
        <v>151</v>
      </c>
    </row>
    <row r="407" spans="1:5" x14ac:dyDescent="0.2">
      <c r="A407" s="22">
        <v>45332</v>
      </c>
      <c r="B407">
        <v>87007</v>
      </c>
      <c r="C407">
        <v>42458</v>
      </c>
      <c r="D407">
        <v>64335</v>
      </c>
      <c r="E407">
        <v>137</v>
      </c>
    </row>
    <row r="408" spans="1:5" x14ac:dyDescent="0.2">
      <c r="A408" s="22">
        <v>45333</v>
      </c>
      <c r="B408">
        <v>75064</v>
      </c>
      <c r="C408">
        <v>36266</v>
      </c>
      <c r="D408">
        <v>45091</v>
      </c>
      <c r="E408">
        <v>128</v>
      </c>
    </row>
    <row r="409" spans="1:5" x14ac:dyDescent="0.2">
      <c r="A409" s="22">
        <v>45334</v>
      </c>
      <c r="B409">
        <v>78454</v>
      </c>
      <c r="C409">
        <v>34128</v>
      </c>
      <c r="D409">
        <v>50464</v>
      </c>
      <c r="E409">
        <v>95</v>
      </c>
    </row>
    <row r="410" spans="1:5" x14ac:dyDescent="0.2">
      <c r="A410" s="22">
        <v>45335</v>
      </c>
      <c r="B410">
        <v>89142</v>
      </c>
      <c r="C410">
        <v>44567</v>
      </c>
      <c r="D410">
        <v>50650</v>
      </c>
      <c r="E410">
        <v>61</v>
      </c>
    </row>
    <row r="411" spans="1:5" x14ac:dyDescent="0.2">
      <c r="A411" s="22">
        <v>45336</v>
      </c>
      <c r="B411">
        <v>78783</v>
      </c>
      <c r="C411">
        <v>36785</v>
      </c>
      <c r="D411">
        <v>56015</v>
      </c>
      <c r="E411">
        <v>61</v>
      </c>
    </row>
    <row r="412" spans="1:5" x14ac:dyDescent="0.2">
      <c r="A412" s="22">
        <v>45337</v>
      </c>
      <c r="B412">
        <v>79576</v>
      </c>
      <c r="C412">
        <v>35413</v>
      </c>
      <c r="D412">
        <v>41854</v>
      </c>
      <c r="E412">
        <v>117</v>
      </c>
    </row>
    <row r="413" spans="1:5" x14ac:dyDescent="0.2">
      <c r="A413" s="22">
        <v>45338</v>
      </c>
      <c r="B413">
        <v>82739</v>
      </c>
      <c r="C413">
        <v>37790</v>
      </c>
      <c r="D413">
        <v>53991</v>
      </c>
      <c r="E413">
        <v>69</v>
      </c>
    </row>
    <row r="414" spans="1:5" x14ac:dyDescent="0.2">
      <c r="A414" s="22">
        <v>45339</v>
      </c>
      <c r="B414">
        <v>79036</v>
      </c>
      <c r="C414">
        <v>40546</v>
      </c>
      <c r="D414">
        <v>54012</v>
      </c>
      <c r="E414">
        <v>162</v>
      </c>
    </row>
    <row r="415" spans="1:5" x14ac:dyDescent="0.2">
      <c r="A415" s="22">
        <v>45340</v>
      </c>
      <c r="B415">
        <v>76366</v>
      </c>
      <c r="C415">
        <v>26841</v>
      </c>
      <c r="D415">
        <v>57951</v>
      </c>
      <c r="E415">
        <v>60</v>
      </c>
    </row>
    <row r="416" spans="1:5" x14ac:dyDescent="0.2">
      <c r="A416" s="22">
        <v>45341</v>
      </c>
      <c r="B416">
        <v>77905</v>
      </c>
      <c r="C416">
        <v>39085</v>
      </c>
      <c r="D416">
        <v>40771</v>
      </c>
      <c r="E416">
        <v>78</v>
      </c>
    </row>
    <row r="417" spans="1:5" x14ac:dyDescent="0.2">
      <c r="A417" s="22">
        <v>45342</v>
      </c>
      <c r="B417">
        <v>84949</v>
      </c>
      <c r="C417">
        <v>36275</v>
      </c>
      <c r="D417">
        <v>48398</v>
      </c>
      <c r="E417">
        <v>132</v>
      </c>
    </row>
    <row r="418" spans="1:5" x14ac:dyDescent="0.2">
      <c r="A418" s="22">
        <v>45343</v>
      </c>
      <c r="B418">
        <v>86417</v>
      </c>
      <c r="C418">
        <v>30376</v>
      </c>
      <c r="D418">
        <v>64689</v>
      </c>
      <c r="E418">
        <v>114</v>
      </c>
    </row>
    <row r="419" spans="1:5" x14ac:dyDescent="0.2">
      <c r="A419" s="22">
        <v>45344</v>
      </c>
      <c r="B419">
        <v>75081</v>
      </c>
      <c r="C419">
        <v>29224</v>
      </c>
      <c r="D419">
        <v>40557</v>
      </c>
      <c r="E419">
        <v>89</v>
      </c>
    </row>
    <row r="420" spans="1:5" x14ac:dyDescent="0.2">
      <c r="A420" s="22">
        <v>45345</v>
      </c>
      <c r="B420">
        <v>86729</v>
      </c>
      <c r="C420">
        <v>35978</v>
      </c>
      <c r="D420">
        <v>60754</v>
      </c>
      <c r="E420">
        <v>128</v>
      </c>
    </row>
    <row r="421" spans="1:5" x14ac:dyDescent="0.2">
      <c r="A421" s="22">
        <v>45346</v>
      </c>
      <c r="B421">
        <v>79815</v>
      </c>
      <c r="C421">
        <v>36477</v>
      </c>
      <c r="D421">
        <v>53827</v>
      </c>
      <c r="E421">
        <v>94</v>
      </c>
    </row>
    <row r="422" spans="1:5" x14ac:dyDescent="0.2">
      <c r="A422" s="22">
        <v>45347</v>
      </c>
      <c r="B422">
        <v>83660</v>
      </c>
      <c r="C422">
        <v>44573</v>
      </c>
      <c r="D422">
        <v>58639</v>
      </c>
      <c r="E422">
        <v>118</v>
      </c>
    </row>
    <row r="423" spans="1:5" x14ac:dyDescent="0.2">
      <c r="A423" s="22">
        <v>45348</v>
      </c>
      <c r="B423">
        <v>83719</v>
      </c>
      <c r="C423">
        <v>31934</v>
      </c>
      <c r="D423">
        <v>44108</v>
      </c>
      <c r="E423">
        <v>92</v>
      </c>
    </row>
    <row r="424" spans="1:5" x14ac:dyDescent="0.2">
      <c r="A424" s="22">
        <v>45349</v>
      </c>
      <c r="B424">
        <v>87441</v>
      </c>
      <c r="C424">
        <v>31183</v>
      </c>
      <c r="D424">
        <v>51161</v>
      </c>
      <c r="E424">
        <v>66</v>
      </c>
    </row>
    <row r="425" spans="1:5" x14ac:dyDescent="0.2">
      <c r="A425" s="22">
        <v>45350</v>
      </c>
      <c r="B425">
        <v>86161</v>
      </c>
      <c r="C425">
        <v>32267</v>
      </c>
      <c r="D425">
        <v>56491</v>
      </c>
      <c r="E425">
        <v>143</v>
      </c>
    </row>
    <row r="426" spans="1:5" x14ac:dyDescent="0.2">
      <c r="A426" s="22">
        <v>45351</v>
      </c>
      <c r="B426">
        <v>75702</v>
      </c>
      <c r="C426">
        <v>38656</v>
      </c>
      <c r="D426">
        <v>38408</v>
      </c>
      <c r="E426">
        <v>165</v>
      </c>
    </row>
    <row r="427" spans="1:5" x14ac:dyDescent="0.2">
      <c r="A427" s="22">
        <v>45352</v>
      </c>
      <c r="B427">
        <v>76569</v>
      </c>
      <c r="C427">
        <v>32769</v>
      </c>
      <c r="D427">
        <v>50466</v>
      </c>
      <c r="E427">
        <v>149</v>
      </c>
    </row>
    <row r="428" spans="1:5" x14ac:dyDescent="0.2">
      <c r="A428" s="22">
        <v>45353</v>
      </c>
      <c r="B428">
        <v>86450</v>
      </c>
      <c r="C428">
        <v>31396</v>
      </c>
      <c r="D428">
        <v>63264</v>
      </c>
      <c r="E428">
        <v>171</v>
      </c>
    </row>
    <row r="429" spans="1:5" x14ac:dyDescent="0.2">
      <c r="A429" s="22">
        <v>45354</v>
      </c>
      <c r="B429">
        <v>77638</v>
      </c>
      <c r="C429">
        <v>34426</v>
      </c>
      <c r="D429">
        <v>47769</v>
      </c>
      <c r="E429">
        <v>128</v>
      </c>
    </row>
    <row r="430" spans="1:5" x14ac:dyDescent="0.2">
      <c r="A430" s="22">
        <v>45355</v>
      </c>
      <c r="B430">
        <v>75866</v>
      </c>
      <c r="C430">
        <v>27217</v>
      </c>
      <c r="D430">
        <v>40909</v>
      </c>
      <c r="E430">
        <v>81</v>
      </c>
    </row>
    <row r="431" spans="1:5" x14ac:dyDescent="0.2">
      <c r="A431" s="22">
        <v>45356</v>
      </c>
      <c r="B431">
        <v>85989</v>
      </c>
      <c r="C431">
        <v>38226</v>
      </c>
      <c r="D431">
        <v>59421</v>
      </c>
      <c r="E431">
        <v>88</v>
      </c>
    </row>
    <row r="432" spans="1:5" x14ac:dyDescent="0.2">
      <c r="A432" s="22">
        <v>45357</v>
      </c>
      <c r="B432">
        <v>79902</v>
      </c>
      <c r="C432">
        <v>42738</v>
      </c>
      <c r="D432">
        <v>60619</v>
      </c>
      <c r="E432">
        <v>117</v>
      </c>
    </row>
    <row r="433" spans="1:5" x14ac:dyDescent="0.2">
      <c r="A433" s="22">
        <v>45358</v>
      </c>
      <c r="B433">
        <v>83914</v>
      </c>
      <c r="C433">
        <v>32116</v>
      </c>
      <c r="D433">
        <v>61005</v>
      </c>
      <c r="E433">
        <v>154</v>
      </c>
    </row>
    <row r="434" spans="1:5" x14ac:dyDescent="0.2">
      <c r="A434" s="22">
        <v>45359</v>
      </c>
      <c r="B434">
        <v>81649</v>
      </c>
      <c r="C434">
        <v>29694</v>
      </c>
      <c r="D434">
        <v>57689</v>
      </c>
      <c r="E434">
        <v>89</v>
      </c>
    </row>
    <row r="435" spans="1:5" x14ac:dyDescent="0.2">
      <c r="A435" s="22">
        <v>45360</v>
      </c>
      <c r="B435">
        <v>83377</v>
      </c>
      <c r="C435">
        <v>42567</v>
      </c>
      <c r="D435">
        <v>50630</v>
      </c>
      <c r="E435">
        <v>108</v>
      </c>
    </row>
    <row r="436" spans="1:5" x14ac:dyDescent="0.2">
      <c r="A436" s="22">
        <v>45361</v>
      </c>
      <c r="B436">
        <v>75154</v>
      </c>
      <c r="C436">
        <v>35203</v>
      </c>
      <c r="D436">
        <v>56904</v>
      </c>
      <c r="E436">
        <v>131</v>
      </c>
    </row>
    <row r="437" spans="1:5" x14ac:dyDescent="0.2">
      <c r="A437" s="22">
        <v>45362</v>
      </c>
      <c r="B437">
        <v>79796</v>
      </c>
      <c r="C437">
        <v>29905</v>
      </c>
      <c r="D437">
        <v>49460</v>
      </c>
      <c r="E437">
        <v>116</v>
      </c>
    </row>
    <row r="438" spans="1:5" x14ac:dyDescent="0.2">
      <c r="A438" s="22">
        <v>45363</v>
      </c>
      <c r="B438">
        <v>84074</v>
      </c>
      <c r="C438">
        <v>42843</v>
      </c>
      <c r="D438">
        <v>42515</v>
      </c>
      <c r="E438">
        <v>72</v>
      </c>
    </row>
    <row r="439" spans="1:5" x14ac:dyDescent="0.2">
      <c r="A439" s="22">
        <v>45364</v>
      </c>
      <c r="B439">
        <v>78233</v>
      </c>
      <c r="C439">
        <v>35567</v>
      </c>
      <c r="D439">
        <v>40527</v>
      </c>
      <c r="E439">
        <v>100</v>
      </c>
    </row>
    <row r="440" spans="1:5" x14ac:dyDescent="0.2">
      <c r="A440" s="22">
        <v>45365</v>
      </c>
      <c r="B440">
        <v>87445</v>
      </c>
      <c r="C440">
        <v>38715</v>
      </c>
      <c r="D440">
        <v>62769</v>
      </c>
      <c r="E440">
        <v>66</v>
      </c>
    </row>
    <row r="441" spans="1:5" x14ac:dyDescent="0.2">
      <c r="A441" s="22">
        <v>45366</v>
      </c>
      <c r="B441">
        <v>85219</v>
      </c>
      <c r="C441">
        <v>34752</v>
      </c>
      <c r="D441">
        <v>61835</v>
      </c>
      <c r="E441">
        <v>92</v>
      </c>
    </row>
    <row r="442" spans="1:5" x14ac:dyDescent="0.2">
      <c r="A442" s="22">
        <v>45367</v>
      </c>
      <c r="B442">
        <v>89295</v>
      </c>
      <c r="C442">
        <v>40536</v>
      </c>
      <c r="D442">
        <v>56937</v>
      </c>
      <c r="E442">
        <v>150</v>
      </c>
    </row>
    <row r="443" spans="1:5" x14ac:dyDescent="0.2">
      <c r="A443" s="22">
        <v>45368</v>
      </c>
      <c r="B443">
        <v>77527</v>
      </c>
      <c r="C443">
        <v>42379</v>
      </c>
      <c r="D443">
        <v>61378</v>
      </c>
      <c r="E443">
        <v>159</v>
      </c>
    </row>
    <row r="444" spans="1:5" x14ac:dyDescent="0.2">
      <c r="A444" s="22">
        <v>45369</v>
      </c>
      <c r="B444">
        <v>81379</v>
      </c>
      <c r="C444">
        <v>34987</v>
      </c>
      <c r="D444">
        <v>64713</v>
      </c>
      <c r="E444">
        <v>135</v>
      </c>
    </row>
    <row r="445" spans="1:5" x14ac:dyDescent="0.2">
      <c r="A445" s="22">
        <v>45370</v>
      </c>
      <c r="B445">
        <v>80699</v>
      </c>
      <c r="C445">
        <v>37769</v>
      </c>
      <c r="D445">
        <v>60611</v>
      </c>
      <c r="E445">
        <v>154</v>
      </c>
    </row>
    <row r="446" spans="1:5" x14ac:dyDescent="0.2">
      <c r="A446" s="22">
        <v>45371</v>
      </c>
      <c r="B446">
        <v>78731</v>
      </c>
      <c r="C446">
        <v>34865</v>
      </c>
      <c r="D446">
        <v>50029</v>
      </c>
      <c r="E446">
        <v>136</v>
      </c>
    </row>
    <row r="447" spans="1:5" x14ac:dyDescent="0.2">
      <c r="A447" s="22">
        <v>45372</v>
      </c>
      <c r="B447">
        <v>82876</v>
      </c>
      <c r="C447">
        <v>33735</v>
      </c>
      <c r="D447">
        <v>45955</v>
      </c>
      <c r="E447">
        <v>145</v>
      </c>
    </row>
    <row r="448" spans="1:5" x14ac:dyDescent="0.2">
      <c r="A448" s="22">
        <v>45373</v>
      </c>
      <c r="B448">
        <v>86460</v>
      </c>
      <c r="C448">
        <v>42090</v>
      </c>
      <c r="D448">
        <v>63527</v>
      </c>
      <c r="E448">
        <v>152</v>
      </c>
    </row>
    <row r="449" spans="1:5" x14ac:dyDescent="0.2">
      <c r="A449" s="22">
        <v>45374</v>
      </c>
      <c r="B449">
        <v>83610</v>
      </c>
      <c r="C449">
        <v>37427</v>
      </c>
      <c r="D449">
        <v>56764</v>
      </c>
      <c r="E449">
        <v>176</v>
      </c>
    </row>
    <row r="450" spans="1:5" x14ac:dyDescent="0.2">
      <c r="A450" s="22">
        <v>45375</v>
      </c>
      <c r="B450">
        <v>81697</v>
      </c>
      <c r="C450">
        <v>32877</v>
      </c>
      <c r="D450">
        <v>44218</v>
      </c>
      <c r="E450">
        <v>61</v>
      </c>
    </row>
    <row r="451" spans="1:5" x14ac:dyDescent="0.2">
      <c r="A451" s="22">
        <v>45376</v>
      </c>
      <c r="B451">
        <v>89238</v>
      </c>
      <c r="C451">
        <v>46719</v>
      </c>
      <c r="D451">
        <v>65218</v>
      </c>
      <c r="E451">
        <v>137</v>
      </c>
    </row>
    <row r="452" spans="1:5" x14ac:dyDescent="0.2">
      <c r="A452" s="22">
        <v>45377</v>
      </c>
      <c r="B452">
        <v>75830</v>
      </c>
      <c r="C452">
        <v>39182</v>
      </c>
      <c r="D452">
        <v>40366</v>
      </c>
      <c r="E452">
        <v>150</v>
      </c>
    </row>
    <row r="453" spans="1:5" x14ac:dyDescent="0.2">
      <c r="A453" s="22">
        <v>45378</v>
      </c>
      <c r="B453">
        <v>85087</v>
      </c>
      <c r="C453">
        <v>36158</v>
      </c>
      <c r="D453">
        <v>49353</v>
      </c>
      <c r="E453">
        <v>129</v>
      </c>
    </row>
    <row r="454" spans="1:5" x14ac:dyDescent="0.2">
      <c r="A454" s="22">
        <v>45379</v>
      </c>
      <c r="B454">
        <v>89156</v>
      </c>
      <c r="C454">
        <v>48233</v>
      </c>
      <c r="D454">
        <v>55258</v>
      </c>
      <c r="E454">
        <v>86</v>
      </c>
    </row>
    <row r="455" spans="1:5" x14ac:dyDescent="0.2">
      <c r="A455" s="22">
        <v>45380</v>
      </c>
      <c r="B455">
        <v>84215</v>
      </c>
      <c r="C455">
        <v>38014</v>
      </c>
      <c r="D455">
        <v>59194</v>
      </c>
      <c r="E455">
        <v>129</v>
      </c>
    </row>
    <row r="456" spans="1:5" x14ac:dyDescent="0.2">
      <c r="A456" s="22">
        <v>45381</v>
      </c>
      <c r="B456">
        <v>79077</v>
      </c>
      <c r="C456">
        <v>28814</v>
      </c>
      <c r="D456">
        <v>44065</v>
      </c>
      <c r="E456">
        <v>100</v>
      </c>
    </row>
    <row r="457" spans="1:5" x14ac:dyDescent="0.2">
      <c r="A457" s="22">
        <v>45382</v>
      </c>
      <c r="B457">
        <v>76504</v>
      </c>
      <c r="C457">
        <v>33150</v>
      </c>
      <c r="D457">
        <v>51413</v>
      </c>
      <c r="E457">
        <v>120</v>
      </c>
    </row>
    <row r="458" spans="1:5" x14ac:dyDescent="0.2">
      <c r="A458" s="22">
        <v>45383</v>
      </c>
      <c r="B458">
        <v>89924</v>
      </c>
      <c r="C458">
        <v>45140</v>
      </c>
      <c r="D458">
        <v>46775</v>
      </c>
      <c r="E458">
        <v>106</v>
      </c>
    </row>
    <row r="459" spans="1:5" x14ac:dyDescent="0.2">
      <c r="A459" s="22">
        <v>45384</v>
      </c>
      <c r="B459">
        <v>81123</v>
      </c>
      <c r="C459">
        <v>42278</v>
      </c>
      <c r="D459">
        <v>55953</v>
      </c>
      <c r="E459">
        <v>111</v>
      </c>
    </row>
    <row r="460" spans="1:5" x14ac:dyDescent="0.2">
      <c r="A460" s="22">
        <v>45385</v>
      </c>
      <c r="B460">
        <v>76540</v>
      </c>
      <c r="C460">
        <v>39813</v>
      </c>
      <c r="D460">
        <v>55393</v>
      </c>
      <c r="E460">
        <v>112</v>
      </c>
    </row>
    <row r="461" spans="1:5" x14ac:dyDescent="0.2">
      <c r="A461" s="22">
        <v>45386</v>
      </c>
      <c r="B461">
        <v>86210</v>
      </c>
      <c r="C461">
        <v>36655</v>
      </c>
      <c r="D461">
        <v>59335</v>
      </c>
      <c r="E461">
        <v>146</v>
      </c>
    </row>
    <row r="462" spans="1:5" x14ac:dyDescent="0.2">
      <c r="A462" s="22">
        <v>45387</v>
      </c>
      <c r="B462">
        <v>87023</v>
      </c>
      <c r="C462">
        <v>36349</v>
      </c>
      <c r="D462">
        <v>53535</v>
      </c>
      <c r="E462">
        <v>163</v>
      </c>
    </row>
    <row r="463" spans="1:5" x14ac:dyDescent="0.2">
      <c r="A463" s="22">
        <v>45388</v>
      </c>
      <c r="B463">
        <v>87164</v>
      </c>
      <c r="C463">
        <v>32142</v>
      </c>
      <c r="D463">
        <v>65429</v>
      </c>
      <c r="E463">
        <v>66</v>
      </c>
    </row>
    <row r="464" spans="1:5" x14ac:dyDescent="0.2">
      <c r="A464" s="22">
        <v>45389</v>
      </c>
      <c r="B464">
        <v>77933</v>
      </c>
      <c r="C464">
        <v>40862</v>
      </c>
      <c r="D464">
        <v>47801</v>
      </c>
      <c r="E464">
        <v>122</v>
      </c>
    </row>
    <row r="465" spans="1:5" x14ac:dyDescent="0.2">
      <c r="A465" s="22">
        <v>45390</v>
      </c>
      <c r="B465">
        <v>82729</v>
      </c>
      <c r="C465">
        <v>30457</v>
      </c>
      <c r="D465">
        <v>54588</v>
      </c>
      <c r="E465">
        <v>139</v>
      </c>
    </row>
    <row r="466" spans="1:5" x14ac:dyDescent="0.2">
      <c r="A466" s="22">
        <v>45391</v>
      </c>
      <c r="B466">
        <v>79603</v>
      </c>
      <c r="C466">
        <v>31040</v>
      </c>
      <c r="D466">
        <v>49623</v>
      </c>
      <c r="E466">
        <v>96</v>
      </c>
    </row>
    <row r="467" spans="1:5" x14ac:dyDescent="0.2">
      <c r="A467" s="22">
        <v>45392</v>
      </c>
      <c r="B467">
        <v>82298</v>
      </c>
      <c r="C467">
        <v>33389</v>
      </c>
      <c r="D467">
        <v>45288</v>
      </c>
      <c r="E467">
        <v>94</v>
      </c>
    </row>
    <row r="468" spans="1:5" x14ac:dyDescent="0.2">
      <c r="A468" s="22">
        <v>45393</v>
      </c>
      <c r="B468">
        <v>84603</v>
      </c>
      <c r="C468">
        <v>29782</v>
      </c>
      <c r="D468">
        <v>42529</v>
      </c>
      <c r="E468">
        <v>62</v>
      </c>
    </row>
    <row r="469" spans="1:5" x14ac:dyDescent="0.2">
      <c r="A469" s="22">
        <v>45394</v>
      </c>
      <c r="B469">
        <v>89447</v>
      </c>
      <c r="C469">
        <v>45597</v>
      </c>
      <c r="D469">
        <v>69031</v>
      </c>
      <c r="E469">
        <v>172</v>
      </c>
    </row>
    <row r="470" spans="1:5" x14ac:dyDescent="0.2">
      <c r="A470" s="22">
        <v>45395</v>
      </c>
      <c r="B470">
        <v>77963</v>
      </c>
      <c r="C470">
        <v>28508</v>
      </c>
      <c r="D470">
        <v>59469</v>
      </c>
      <c r="E470">
        <v>89</v>
      </c>
    </row>
    <row r="471" spans="1:5" x14ac:dyDescent="0.2">
      <c r="A471" s="22">
        <v>45396</v>
      </c>
      <c r="B471">
        <v>84932</v>
      </c>
      <c r="C471">
        <v>41310</v>
      </c>
      <c r="D471">
        <v>46194</v>
      </c>
      <c r="E471">
        <v>153</v>
      </c>
    </row>
    <row r="472" spans="1:5" x14ac:dyDescent="0.2">
      <c r="A472" s="22">
        <v>45397</v>
      </c>
      <c r="B472">
        <v>85276</v>
      </c>
      <c r="C472">
        <v>44976</v>
      </c>
      <c r="D472">
        <v>50624</v>
      </c>
      <c r="E472">
        <v>91</v>
      </c>
    </row>
    <row r="473" spans="1:5" x14ac:dyDescent="0.2">
      <c r="A473" s="22">
        <v>45398</v>
      </c>
      <c r="B473">
        <v>89037</v>
      </c>
      <c r="C473">
        <v>48730</v>
      </c>
      <c r="D473">
        <v>53816</v>
      </c>
      <c r="E473">
        <v>114</v>
      </c>
    </row>
    <row r="474" spans="1:5" x14ac:dyDescent="0.2">
      <c r="A474" s="22">
        <v>45399</v>
      </c>
      <c r="B474">
        <v>79879</v>
      </c>
      <c r="C474">
        <v>34416</v>
      </c>
      <c r="D474">
        <v>58070</v>
      </c>
      <c r="E474">
        <v>69</v>
      </c>
    </row>
    <row r="475" spans="1:5" x14ac:dyDescent="0.2">
      <c r="A475" s="22">
        <v>45400</v>
      </c>
      <c r="B475">
        <v>85152</v>
      </c>
      <c r="C475">
        <v>30617</v>
      </c>
      <c r="D475">
        <v>49372</v>
      </c>
      <c r="E475">
        <v>135</v>
      </c>
    </row>
    <row r="476" spans="1:5" x14ac:dyDescent="0.2">
      <c r="A476" s="22">
        <v>45401</v>
      </c>
      <c r="B476">
        <v>83111</v>
      </c>
      <c r="C476">
        <v>40349</v>
      </c>
      <c r="D476">
        <v>47897</v>
      </c>
      <c r="E476">
        <v>95</v>
      </c>
    </row>
    <row r="477" spans="1:5" x14ac:dyDescent="0.2">
      <c r="A477" s="22">
        <v>45402</v>
      </c>
      <c r="B477">
        <v>87580</v>
      </c>
      <c r="C477">
        <v>34050</v>
      </c>
      <c r="D477">
        <v>44015</v>
      </c>
      <c r="E477">
        <v>100</v>
      </c>
    </row>
    <row r="478" spans="1:5" x14ac:dyDescent="0.2">
      <c r="A478" s="22">
        <v>45403</v>
      </c>
      <c r="B478">
        <v>77461</v>
      </c>
      <c r="C478">
        <v>42276</v>
      </c>
      <c r="D478">
        <v>39034</v>
      </c>
      <c r="E478">
        <v>150</v>
      </c>
    </row>
    <row r="479" spans="1:5" x14ac:dyDescent="0.2">
      <c r="A479" s="22">
        <v>45404</v>
      </c>
      <c r="B479">
        <v>80205</v>
      </c>
      <c r="C479">
        <v>35500</v>
      </c>
      <c r="D479">
        <v>47832</v>
      </c>
      <c r="E479">
        <v>60</v>
      </c>
    </row>
    <row r="480" spans="1:5" x14ac:dyDescent="0.2">
      <c r="A480" s="22">
        <v>45405</v>
      </c>
      <c r="B480">
        <v>83540</v>
      </c>
      <c r="C480">
        <v>35790</v>
      </c>
      <c r="D480">
        <v>58428</v>
      </c>
      <c r="E480">
        <v>169</v>
      </c>
    </row>
    <row r="481" spans="1:5" x14ac:dyDescent="0.2">
      <c r="A481" s="22">
        <v>45406</v>
      </c>
      <c r="B481">
        <v>86257</v>
      </c>
      <c r="C481">
        <v>39746</v>
      </c>
      <c r="D481">
        <v>65252</v>
      </c>
      <c r="E481">
        <v>89</v>
      </c>
    </row>
    <row r="482" spans="1:5" x14ac:dyDescent="0.2">
      <c r="A482" s="22">
        <v>45407</v>
      </c>
      <c r="B482">
        <v>80608</v>
      </c>
      <c r="C482">
        <v>32640</v>
      </c>
      <c r="D482">
        <v>47049</v>
      </c>
      <c r="E482">
        <v>136</v>
      </c>
    </row>
    <row r="483" spans="1:5" x14ac:dyDescent="0.2">
      <c r="A483" s="22">
        <v>45408</v>
      </c>
      <c r="B483">
        <v>77263</v>
      </c>
      <c r="C483">
        <v>37806</v>
      </c>
      <c r="D483">
        <v>43361</v>
      </c>
      <c r="E483">
        <v>105</v>
      </c>
    </row>
    <row r="484" spans="1:5" x14ac:dyDescent="0.2">
      <c r="A484" s="22">
        <v>45409</v>
      </c>
      <c r="B484">
        <v>78995</v>
      </c>
      <c r="C484">
        <v>40806</v>
      </c>
      <c r="D484">
        <v>47961</v>
      </c>
      <c r="E484">
        <v>166</v>
      </c>
    </row>
    <row r="485" spans="1:5" x14ac:dyDescent="0.2">
      <c r="A485" s="22">
        <v>45410</v>
      </c>
      <c r="B485">
        <v>79074</v>
      </c>
      <c r="C485">
        <v>41892</v>
      </c>
      <c r="D485">
        <v>52661</v>
      </c>
      <c r="E485">
        <v>114</v>
      </c>
    </row>
    <row r="486" spans="1:5" x14ac:dyDescent="0.2">
      <c r="A486" s="22">
        <v>45411</v>
      </c>
      <c r="B486">
        <v>88380</v>
      </c>
      <c r="C486">
        <v>31502</v>
      </c>
      <c r="D486">
        <v>55027</v>
      </c>
      <c r="E486">
        <v>75</v>
      </c>
    </row>
    <row r="487" spans="1:5" x14ac:dyDescent="0.2">
      <c r="A487" s="22">
        <v>45412</v>
      </c>
      <c r="B487">
        <v>85986</v>
      </c>
      <c r="C487">
        <v>32908</v>
      </c>
      <c r="D487">
        <v>45212</v>
      </c>
      <c r="E487">
        <v>118</v>
      </c>
    </row>
    <row r="488" spans="1:5" x14ac:dyDescent="0.2">
      <c r="A488" s="22">
        <v>45413</v>
      </c>
      <c r="B488">
        <v>84426</v>
      </c>
      <c r="C488">
        <v>41435</v>
      </c>
      <c r="D488">
        <v>50193</v>
      </c>
      <c r="E488">
        <v>118</v>
      </c>
    </row>
    <row r="489" spans="1:5" x14ac:dyDescent="0.2">
      <c r="A489" s="22">
        <v>45414</v>
      </c>
      <c r="B489">
        <v>89910</v>
      </c>
      <c r="C489">
        <v>38579</v>
      </c>
      <c r="D489">
        <v>68210</v>
      </c>
      <c r="E489">
        <v>164</v>
      </c>
    </row>
    <row r="490" spans="1:5" x14ac:dyDescent="0.2">
      <c r="A490" s="22">
        <v>45415</v>
      </c>
      <c r="B490">
        <v>79974</v>
      </c>
      <c r="C490">
        <v>35722</v>
      </c>
      <c r="D490">
        <v>53569</v>
      </c>
      <c r="E490">
        <v>88</v>
      </c>
    </row>
    <row r="491" spans="1:5" x14ac:dyDescent="0.2">
      <c r="A491" s="22">
        <v>45416</v>
      </c>
      <c r="B491">
        <v>80091</v>
      </c>
      <c r="C491">
        <v>40791</v>
      </c>
      <c r="D491">
        <v>43240</v>
      </c>
      <c r="E491">
        <v>155</v>
      </c>
    </row>
    <row r="492" spans="1:5" x14ac:dyDescent="0.2">
      <c r="A492" s="22">
        <v>45417</v>
      </c>
      <c r="B492">
        <v>87902</v>
      </c>
      <c r="C492">
        <v>31447</v>
      </c>
      <c r="D492">
        <v>65096</v>
      </c>
      <c r="E492">
        <v>174</v>
      </c>
    </row>
    <row r="493" spans="1:5" x14ac:dyDescent="0.2">
      <c r="A493" s="22">
        <v>45418</v>
      </c>
      <c r="B493">
        <v>88797</v>
      </c>
      <c r="C493">
        <v>38464</v>
      </c>
      <c r="D493">
        <v>49688</v>
      </c>
      <c r="E493">
        <v>170</v>
      </c>
    </row>
    <row r="494" spans="1:5" x14ac:dyDescent="0.2">
      <c r="A494" s="22">
        <v>45419</v>
      </c>
      <c r="B494">
        <v>84778</v>
      </c>
      <c r="C494">
        <v>43197</v>
      </c>
      <c r="D494">
        <v>52899</v>
      </c>
      <c r="E494">
        <v>163</v>
      </c>
    </row>
    <row r="495" spans="1:5" x14ac:dyDescent="0.2">
      <c r="A495" s="22">
        <v>45420</v>
      </c>
      <c r="B495">
        <v>75603</v>
      </c>
      <c r="C495">
        <v>40097</v>
      </c>
      <c r="D495">
        <v>43379</v>
      </c>
      <c r="E495">
        <v>154</v>
      </c>
    </row>
    <row r="496" spans="1:5" x14ac:dyDescent="0.2">
      <c r="A496" s="22">
        <v>45421</v>
      </c>
      <c r="B496">
        <v>80710</v>
      </c>
      <c r="C496">
        <v>32466</v>
      </c>
      <c r="D496">
        <v>47134</v>
      </c>
      <c r="E496">
        <v>122</v>
      </c>
    </row>
    <row r="497" spans="1:5" x14ac:dyDescent="0.2">
      <c r="A497" s="22">
        <v>45422</v>
      </c>
      <c r="B497">
        <v>88779</v>
      </c>
      <c r="C497">
        <v>46366</v>
      </c>
      <c r="D497">
        <v>49518</v>
      </c>
      <c r="E497">
        <v>79</v>
      </c>
    </row>
    <row r="498" spans="1:5" x14ac:dyDescent="0.2">
      <c r="A498" s="22">
        <v>45423</v>
      </c>
      <c r="B498">
        <v>82945</v>
      </c>
      <c r="C498">
        <v>31681</v>
      </c>
      <c r="D498">
        <v>56892</v>
      </c>
      <c r="E498">
        <v>77</v>
      </c>
    </row>
    <row r="499" spans="1:5" x14ac:dyDescent="0.2">
      <c r="A499" s="22">
        <v>45424</v>
      </c>
      <c r="B499">
        <v>81228</v>
      </c>
      <c r="C499">
        <v>41974</v>
      </c>
      <c r="D499">
        <v>64646</v>
      </c>
      <c r="E499">
        <v>122</v>
      </c>
    </row>
    <row r="500" spans="1:5" x14ac:dyDescent="0.2">
      <c r="A500" s="22">
        <v>45425</v>
      </c>
      <c r="B500">
        <v>84538</v>
      </c>
      <c r="C500">
        <v>37311</v>
      </c>
      <c r="D500">
        <v>60928</v>
      </c>
      <c r="E500">
        <v>70</v>
      </c>
    </row>
    <row r="501" spans="1:5" x14ac:dyDescent="0.2">
      <c r="A501" s="22">
        <v>45426</v>
      </c>
      <c r="B501">
        <v>78298</v>
      </c>
      <c r="C501">
        <v>36124</v>
      </c>
      <c r="D501">
        <v>60420</v>
      </c>
      <c r="E501">
        <v>113</v>
      </c>
    </row>
    <row r="502" spans="1:5" x14ac:dyDescent="0.2">
      <c r="A502" s="22">
        <v>45427</v>
      </c>
      <c r="B502">
        <v>84304</v>
      </c>
      <c r="C502">
        <v>32741</v>
      </c>
      <c r="D502">
        <v>47462</v>
      </c>
      <c r="E502">
        <v>112</v>
      </c>
    </row>
    <row r="503" spans="1:5" x14ac:dyDescent="0.2">
      <c r="A503" s="22">
        <v>45428</v>
      </c>
      <c r="B503">
        <v>76493</v>
      </c>
      <c r="C503">
        <v>27250</v>
      </c>
      <c r="D503">
        <v>46339</v>
      </c>
      <c r="E503">
        <v>139</v>
      </c>
    </row>
    <row r="504" spans="1:5" x14ac:dyDescent="0.2">
      <c r="A504" s="22">
        <v>45429</v>
      </c>
      <c r="B504">
        <v>87842</v>
      </c>
      <c r="C504">
        <v>32099</v>
      </c>
      <c r="D504">
        <v>44335</v>
      </c>
      <c r="E504">
        <v>70</v>
      </c>
    </row>
    <row r="505" spans="1:5" x14ac:dyDescent="0.2">
      <c r="A505" s="22">
        <v>45430</v>
      </c>
      <c r="B505">
        <v>77446</v>
      </c>
      <c r="C505">
        <v>30346</v>
      </c>
      <c r="D505">
        <v>44303</v>
      </c>
      <c r="E505">
        <v>113</v>
      </c>
    </row>
    <row r="506" spans="1:5" x14ac:dyDescent="0.2">
      <c r="A506" s="22">
        <v>45431</v>
      </c>
      <c r="B506">
        <v>87202</v>
      </c>
      <c r="C506">
        <v>39810</v>
      </c>
      <c r="D506">
        <v>54024</v>
      </c>
      <c r="E506">
        <v>84</v>
      </c>
    </row>
    <row r="507" spans="1:5" x14ac:dyDescent="0.2">
      <c r="A507" s="22">
        <v>45432</v>
      </c>
      <c r="B507">
        <v>83229</v>
      </c>
      <c r="C507">
        <v>40197</v>
      </c>
      <c r="D507">
        <v>44385</v>
      </c>
      <c r="E507">
        <v>104</v>
      </c>
    </row>
    <row r="508" spans="1:5" x14ac:dyDescent="0.2">
      <c r="A508" s="22">
        <v>45433</v>
      </c>
      <c r="B508">
        <v>89540</v>
      </c>
      <c r="C508">
        <v>47348</v>
      </c>
      <c r="D508">
        <v>71105</v>
      </c>
      <c r="E508">
        <v>78</v>
      </c>
    </row>
    <row r="509" spans="1:5" x14ac:dyDescent="0.2">
      <c r="A509" s="22">
        <v>45434</v>
      </c>
      <c r="B509">
        <v>76824</v>
      </c>
      <c r="C509">
        <v>32140</v>
      </c>
      <c r="D509">
        <v>58468</v>
      </c>
      <c r="E509">
        <v>127</v>
      </c>
    </row>
    <row r="510" spans="1:5" x14ac:dyDescent="0.2">
      <c r="A510" s="22">
        <v>45435</v>
      </c>
      <c r="B510">
        <v>83860</v>
      </c>
      <c r="C510">
        <v>32391</v>
      </c>
      <c r="D510">
        <v>62597</v>
      </c>
      <c r="E510">
        <v>114</v>
      </c>
    </row>
    <row r="511" spans="1:5" x14ac:dyDescent="0.2">
      <c r="A511" s="22">
        <v>45436</v>
      </c>
      <c r="B511">
        <v>88932</v>
      </c>
      <c r="C511">
        <v>38705</v>
      </c>
      <c r="D511">
        <v>47900</v>
      </c>
      <c r="E511">
        <v>86</v>
      </c>
    </row>
    <row r="512" spans="1:5" x14ac:dyDescent="0.2">
      <c r="A512" s="22">
        <v>45437</v>
      </c>
      <c r="B512">
        <v>80134</v>
      </c>
      <c r="C512">
        <v>36017</v>
      </c>
      <c r="D512">
        <v>46914</v>
      </c>
      <c r="E512">
        <v>97</v>
      </c>
    </row>
    <row r="513" spans="1:5" x14ac:dyDescent="0.2">
      <c r="A513" s="22">
        <v>45438</v>
      </c>
      <c r="B513">
        <v>76394</v>
      </c>
      <c r="C513">
        <v>27487</v>
      </c>
      <c r="D513">
        <v>59483</v>
      </c>
      <c r="E513">
        <v>146</v>
      </c>
    </row>
    <row r="514" spans="1:5" x14ac:dyDescent="0.2">
      <c r="A514" s="22">
        <v>45439</v>
      </c>
      <c r="B514">
        <v>85691</v>
      </c>
      <c r="C514">
        <v>42387</v>
      </c>
      <c r="D514">
        <v>44082</v>
      </c>
      <c r="E514">
        <v>136</v>
      </c>
    </row>
    <row r="515" spans="1:5" x14ac:dyDescent="0.2">
      <c r="A515" s="22">
        <v>45440</v>
      </c>
      <c r="B515">
        <v>82558</v>
      </c>
      <c r="C515">
        <v>41874</v>
      </c>
      <c r="D515">
        <v>58615</v>
      </c>
      <c r="E515">
        <v>89</v>
      </c>
    </row>
    <row r="516" spans="1:5" x14ac:dyDescent="0.2">
      <c r="A516" s="22">
        <v>45441</v>
      </c>
      <c r="B516">
        <v>86408</v>
      </c>
      <c r="C516">
        <v>42063</v>
      </c>
      <c r="D516">
        <v>54133</v>
      </c>
      <c r="E516">
        <v>124</v>
      </c>
    </row>
    <row r="517" spans="1:5" x14ac:dyDescent="0.2">
      <c r="A517" s="22">
        <v>45442</v>
      </c>
      <c r="B517">
        <v>83068</v>
      </c>
      <c r="C517">
        <v>31720</v>
      </c>
      <c r="D517">
        <v>64284</v>
      </c>
      <c r="E517">
        <v>62</v>
      </c>
    </row>
    <row r="518" spans="1:5" x14ac:dyDescent="0.2">
      <c r="A518" s="22">
        <v>45443</v>
      </c>
      <c r="B518">
        <v>85327</v>
      </c>
      <c r="C518">
        <v>42820</v>
      </c>
      <c r="D518">
        <v>64669</v>
      </c>
      <c r="E518">
        <v>132</v>
      </c>
    </row>
    <row r="519" spans="1:5" x14ac:dyDescent="0.2">
      <c r="A519" s="22">
        <v>45444</v>
      </c>
      <c r="B519">
        <v>79443</v>
      </c>
      <c r="C519">
        <v>42976</v>
      </c>
      <c r="D519">
        <v>63414</v>
      </c>
      <c r="E519">
        <v>179</v>
      </c>
    </row>
    <row r="520" spans="1:5" x14ac:dyDescent="0.2">
      <c r="A520" s="22">
        <v>45445</v>
      </c>
      <c r="B520">
        <v>82939</v>
      </c>
      <c r="C520">
        <v>33234</v>
      </c>
      <c r="D520">
        <v>56481</v>
      </c>
      <c r="E520">
        <v>67</v>
      </c>
    </row>
    <row r="521" spans="1:5" x14ac:dyDescent="0.2">
      <c r="A521" s="22">
        <v>45446</v>
      </c>
      <c r="B521">
        <v>77140</v>
      </c>
      <c r="C521">
        <v>31416</v>
      </c>
      <c r="D521">
        <v>50405</v>
      </c>
      <c r="E521">
        <v>140</v>
      </c>
    </row>
    <row r="522" spans="1:5" x14ac:dyDescent="0.2">
      <c r="A522" s="22">
        <v>45447</v>
      </c>
      <c r="B522">
        <v>77793</v>
      </c>
      <c r="C522">
        <v>30939</v>
      </c>
      <c r="D522">
        <v>59700</v>
      </c>
      <c r="E522">
        <v>88</v>
      </c>
    </row>
    <row r="523" spans="1:5" x14ac:dyDescent="0.2">
      <c r="A523" s="22">
        <v>45448</v>
      </c>
      <c r="B523">
        <v>81367</v>
      </c>
      <c r="C523">
        <v>34133</v>
      </c>
      <c r="D523">
        <v>49716</v>
      </c>
      <c r="E523">
        <v>62</v>
      </c>
    </row>
    <row r="524" spans="1:5" x14ac:dyDescent="0.2">
      <c r="A524" s="22">
        <v>45449</v>
      </c>
      <c r="B524">
        <v>80527</v>
      </c>
      <c r="C524">
        <v>35313</v>
      </c>
      <c r="D524">
        <v>60127</v>
      </c>
      <c r="E524">
        <v>76</v>
      </c>
    </row>
    <row r="525" spans="1:5" x14ac:dyDescent="0.2">
      <c r="A525" s="22">
        <v>45450</v>
      </c>
      <c r="B525">
        <v>89579</v>
      </c>
      <c r="C525">
        <v>42815</v>
      </c>
      <c r="D525">
        <v>59935</v>
      </c>
      <c r="E525">
        <v>125</v>
      </c>
    </row>
    <row r="526" spans="1:5" x14ac:dyDescent="0.2">
      <c r="A526" s="22">
        <v>45451</v>
      </c>
      <c r="B526">
        <v>77299</v>
      </c>
      <c r="C526">
        <v>32455</v>
      </c>
      <c r="D526">
        <v>60703</v>
      </c>
      <c r="E526">
        <v>142</v>
      </c>
    </row>
    <row r="527" spans="1:5" x14ac:dyDescent="0.2">
      <c r="A527" s="22">
        <v>45452</v>
      </c>
      <c r="B527">
        <v>77994</v>
      </c>
      <c r="C527">
        <v>42439</v>
      </c>
      <c r="D527">
        <v>44212</v>
      </c>
      <c r="E527">
        <v>76</v>
      </c>
    </row>
    <row r="528" spans="1:5" x14ac:dyDescent="0.2">
      <c r="A528" s="22">
        <v>45453</v>
      </c>
      <c r="B528">
        <v>80496</v>
      </c>
      <c r="C528">
        <v>38076</v>
      </c>
      <c r="D528">
        <v>61958</v>
      </c>
      <c r="E528">
        <v>176</v>
      </c>
    </row>
    <row r="529" spans="1:5" x14ac:dyDescent="0.2">
      <c r="A529" s="22">
        <v>45454</v>
      </c>
      <c r="B529">
        <v>82737</v>
      </c>
      <c r="C529">
        <v>42728</v>
      </c>
      <c r="D529">
        <v>65286</v>
      </c>
      <c r="E529">
        <v>116</v>
      </c>
    </row>
    <row r="530" spans="1:5" x14ac:dyDescent="0.2">
      <c r="A530" s="22">
        <v>45455</v>
      </c>
      <c r="B530">
        <v>85793</v>
      </c>
      <c r="C530">
        <v>34112</v>
      </c>
      <c r="D530">
        <v>67300</v>
      </c>
      <c r="E530">
        <v>164</v>
      </c>
    </row>
    <row r="531" spans="1:5" x14ac:dyDescent="0.2">
      <c r="A531" s="22">
        <v>45456</v>
      </c>
      <c r="B531">
        <v>77675</v>
      </c>
      <c r="C531">
        <v>34008</v>
      </c>
      <c r="D531">
        <v>46342</v>
      </c>
      <c r="E531">
        <v>135</v>
      </c>
    </row>
    <row r="532" spans="1:5" x14ac:dyDescent="0.2">
      <c r="A532" s="22">
        <v>45457</v>
      </c>
      <c r="B532">
        <v>89813</v>
      </c>
      <c r="C532">
        <v>39765</v>
      </c>
      <c r="D532">
        <v>62143</v>
      </c>
      <c r="E532">
        <v>120</v>
      </c>
    </row>
    <row r="533" spans="1:5" x14ac:dyDescent="0.2">
      <c r="A533" s="22">
        <v>45458</v>
      </c>
      <c r="B533">
        <v>78464</v>
      </c>
      <c r="C533">
        <v>37532</v>
      </c>
      <c r="D533">
        <v>39991</v>
      </c>
      <c r="E533">
        <v>113</v>
      </c>
    </row>
    <row r="534" spans="1:5" x14ac:dyDescent="0.2">
      <c r="A534" s="22">
        <v>45459</v>
      </c>
      <c r="B534">
        <v>75503</v>
      </c>
      <c r="C534">
        <v>33888</v>
      </c>
      <c r="D534">
        <v>53982</v>
      </c>
      <c r="E534">
        <v>152</v>
      </c>
    </row>
    <row r="535" spans="1:5" x14ac:dyDescent="0.2">
      <c r="A535" s="22">
        <v>45460</v>
      </c>
      <c r="B535">
        <v>86753</v>
      </c>
      <c r="C535">
        <v>34601</v>
      </c>
      <c r="D535">
        <v>65613</v>
      </c>
      <c r="E535">
        <v>178</v>
      </c>
    </row>
    <row r="536" spans="1:5" x14ac:dyDescent="0.2">
      <c r="A536" s="22">
        <v>45461</v>
      </c>
      <c r="B536">
        <v>88447</v>
      </c>
      <c r="C536">
        <v>34551</v>
      </c>
      <c r="D536">
        <v>50161</v>
      </c>
      <c r="E536">
        <v>171</v>
      </c>
    </row>
    <row r="537" spans="1:5" x14ac:dyDescent="0.2">
      <c r="A537" s="22">
        <v>45462</v>
      </c>
      <c r="B537">
        <v>76030</v>
      </c>
      <c r="C537">
        <v>29056</v>
      </c>
      <c r="D537">
        <v>45246</v>
      </c>
      <c r="E537">
        <v>125</v>
      </c>
    </row>
    <row r="538" spans="1:5" x14ac:dyDescent="0.2">
      <c r="A538" s="22">
        <v>45463</v>
      </c>
      <c r="B538">
        <v>81242</v>
      </c>
      <c r="C538">
        <v>43396</v>
      </c>
      <c r="D538">
        <v>48158</v>
      </c>
      <c r="E538">
        <v>91</v>
      </c>
    </row>
    <row r="539" spans="1:5" x14ac:dyDescent="0.2">
      <c r="A539" s="22">
        <v>45464</v>
      </c>
      <c r="B539">
        <v>86267</v>
      </c>
      <c r="C539">
        <v>31557</v>
      </c>
      <c r="D539">
        <v>59918</v>
      </c>
      <c r="E539">
        <v>139</v>
      </c>
    </row>
    <row r="540" spans="1:5" x14ac:dyDescent="0.2">
      <c r="A540" s="22">
        <v>45465</v>
      </c>
      <c r="B540">
        <v>86140</v>
      </c>
      <c r="C540">
        <v>47089</v>
      </c>
      <c r="D540">
        <v>54494</v>
      </c>
      <c r="E540">
        <v>76</v>
      </c>
    </row>
    <row r="541" spans="1:5" x14ac:dyDescent="0.2">
      <c r="A541" s="22">
        <v>45466</v>
      </c>
      <c r="B541">
        <v>75734</v>
      </c>
      <c r="C541">
        <v>41400</v>
      </c>
      <c r="D541">
        <v>43869</v>
      </c>
      <c r="E541">
        <v>61</v>
      </c>
    </row>
    <row r="542" spans="1:5" x14ac:dyDescent="0.2">
      <c r="A542" s="22">
        <v>45467</v>
      </c>
      <c r="B542">
        <v>76809</v>
      </c>
      <c r="C542">
        <v>27680</v>
      </c>
      <c r="D542">
        <v>39498</v>
      </c>
      <c r="E542">
        <v>98</v>
      </c>
    </row>
    <row r="543" spans="1:5" x14ac:dyDescent="0.2">
      <c r="A543" s="22">
        <v>45468</v>
      </c>
      <c r="B543">
        <v>75037</v>
      </c>
      <c r="C543">
        <v>39277</v>
      </c>
      <c r="D543">
        <v>43062</v>
      </c>
      <c r="E543">
        <v>67</v>
      </c>
    </row>
    <row r="544" spans="1:5" x14ac:dyDescent="0.2">
      <c r="A544" s="22">
        <v>45469</v>
      </c>
      <c r="B544">
        <v>77795</v>
      </c>
      <c r="C544">
        <v>33216</v>
      </c>
      <c r="D544">
        <v>41660</v>
      </c>
      <c r="E544">
        <v>74</v>
      </c>
    </row>
    <row r="545" spans="1:5" x14ac:dyDescent="0.2">
      <c r="A545" s="22">
        <v>45470</v>
      </c>
      <c r="B545">
        <v>82522</v>
      </c>
      <c r="C545">
        <v>40823</v>
      </c>
      <c r="D545">
        <v>60924</v>
      </c>
      <c r="E545">
        <v>77</v>
      </c>
    </row>
    <row r="546" spans="1:5" x14ac:dyDescent="0.2">
      <c r="A546" s="22">
        <v>45471</v>
      </c>
      <c r="B546">
        <v>83450</v>
      </c>
      <c r="C546">
        <v>34315</v>
      </c>
      <c r="D546">
        <v>61181</v>
      </c>
      <c r="E546">
        <v>174</v>
      </c>
    </row>
    <row r="547" spans="1:5" x14ac:dyDescent="0.2">
      <c r="A547" s="22">
        <v>45472</v>
      </c>
      <c r="B547">
        <v>83578</v>
      </c>
      <c r="C547">
        <v>44476</v>
      </c>
      <c r="D547">
        <v>59212</v>
      </c>
      <c r="E547">
        <v>152</v>
      </c>
    </row>
    <row r="548" spans="1:5" x14ac:dyDescent="0.2">
      <c r="A548" s="22">
        <v>45473</v>
      </c>
      <c r="B548">
        <v>76828</v>
      </c>
      <c r="C548">
        <v>35204</v>
      </c>
      <c r="D548">
        <v>58482</v>
      </c>
      <c r="E548">
        <v>71</v>
      </c>
    </row>
    <row r="549" spans="1:5" x14ac:dyDescent="0.2">
      <c r="A549" s="22">
        <v>45474</v>
      </c>
      <c r="B549">
        <v>89896</v>
      </c>
      <c r="C549">
        <v>43109</v>
      </c>
      <c r="D549">
        <v>52844</v>
      </c>
      <c r="E549">
        <v>96</v>
      </c>
    </row>
    <row r="550" spans="1:5" x14ac:dyDescent="0.2">
      <c r="A550" s="22">
        <v>45475</v>
      </c>
      <c r="B550">
        <v>85360</v>
      </c>
      <c r="C550">
        <v>34959</v>
      </c>
      <c r="D550">
        <v>45173</v>
      </c>
      <c r="E550">
        <v>91</v>
      </c>
    </row>
    <row r="551" spans="1:5" x14ac:dyDescent="0.2">
      <c r="A551" s="22">
        <v>45476</v>
      </c>
      <c r="B551">
        <v>86756</v>
      </c>
      <c r="C551">
        <v>32192</v>
      </c>
      <c r="D551">
        <v>59079</v>
      </c>
      <c r="E551">
        <v>146</v>
      </c>
    </row>
    <row r="552" spans="1:5" x14ac:dyDescent="0.2">
      <c r="A552" s="22">
        <v>45477</v>
      </c>
      <c r="B552">
        <v>81165</v>
      </c>
      <c r="C552">
        <v>31395</v>
      </c>
      <c r="D552">
        <v>49775</v>
      </c>
      <c r="E552">
        <v>173</v>
      </c>
    </row>
    <row r="553" spans="1:5" x14ac:dyDescent="0.2">
      <c r="A553" s="22">
        <v>45478</v>
      </c>
      <c r="B553">
        <v>82094</v>
      </c>
      <c r="C553">
        <v>38714</v>
      </c>
      <c r="D553">
        <v>60508</v>
      </c>
      <c r="E553">
        <v>73</v>
      </c>
    </row>
    <row r="554" spans="1:5" x14ac:dyDescent="0.2">
      <c r="A554" s="22">
        <v>45479</v>
      </c>
      <c r="B554">
        <v>88285</v>
      </c>
      <c r="C554">
        <v>38753</v>
      </c>
      <c r="D554">
        <v>70016</v>
      </c>
      <c r="E554">
        <v>179</v>
      </c>
    </row>
    <row r="555" spans="1:5" x14ac:dyDescent="0.2">
      <c r="A555" s="22">
        <v>45480</v>
      </c>
      <c r="B555">
        <v>88394</v>
      </c>
      <c r="C555">
        <v>45307</v>
      </c>
      <c r="D555">
        <v>61229</v>
      </c>
      <c r="E555">
        <v>97</v>
      </c>
    </row>
    <row r="556" spans="1:5" x14ac:dyDescent="0.2">
      <c r="A556" s="22">
        <v>45481</v>
      </c>
      <c r="B556">
        <v>76227</v>
      </c>
      <c r="C556">
        <v>33544</v>
      </c>
      <c r="D556">
        <v>39579</v>
      </c>
      <c r="E556">
        <v>80</v>
      </c>
    </row>
    <row r="557" spans="1:5" x14ac:dyDescent="0.2">
      <c r="A557" s="22">
        <v>45482</v>
      </c>
      <c r="B557">
        <v>89063</v>
      </c>
      <c r="C557">
        <v>35614</v>
      </c>
      <c r="D557">
        <v>57853</v>
      </c>
      <c r="E557">
        <v>85</v>
      </c>
    </row>
    <row r="558" spans="1:5" x14ac:dyDescent="0.2">
      <c r="A558" s="22">
        <v>45483</v>
      </c>
      <c r="B558">
        <v>88666</v>
      </c>
      <c r="C558">
        <v>45693</v>
      </c>
      <c r="D558">
        <v>53627</v>
      </c>
      <c r="E558">
        <v>82</v>
      </c>
    </row>
    <row r="559" spans="1:5" x14ac:dyDescent="0.2">
      <c r="A559" s="22">
        <v>45484</v>
      </c>
      <c r="B559">
        <v>89778</v>
      </c>
      <c r="C559">
        <v>32487</v>
      </c>
      <c r="D559">
        <v>48154</v>
      </c>
      <c r="E559">
        <v>178</v>
      </c>
    </row>
    <row r="560" spans="1:5" x14ac:dyDescent="0.2">
      <c r="A560" s="22">
        <v>45485</v>
      </c>
      <c r="B560">
        <v>76923</v>
      </c>
      <c r="C560">
        <v>32384</v>
      </c>
      <c r="D560">
        <v>48927</v>
      </c>
      <c r="E560">
        <v>84</v>
      </c>
    </row>
    <row r="561" spans="1:5" x14ac:dyDescent="0.2">
      <c r="A561" s="22">
        <v>45486</v>
      </c>
      <c r="B561">
        <v>79582</v>
      </c>
      <c r="C561">
        <v>30577</v>
      </c>
      <c r="D561">
        <v>56749</v>
      </c>
      <c r="E561">
        <v>162</v>
      </c>
    </row>
    <row r="562" spans="1:5" x14ac:dyDescent="0.2">
      <c r="A562" s="22">
        <v>45487</v>
      </c>
      <c r="B562">
        <v>76637</v>
      </c>
      <c r="C562">
        <v>33658</v>
      </c>
      <c r="D562">
        <v>58825</v>
      </c>
      <c r="E562">
        <v>70</v>
      </c>
    </row>
    <row r="563" spans="1:5" x14ac:dyDescent="0.2">
      <c r="A563" s="22">
        <v>45488</v>
      </c>
      <c r="B563">
        <v>86650</v>
      </c>
      <c r="C563">
        <v>42950</v>
      </c>
      <c r="D563">
        <v>55790</v>
      </c>
      <c r="E563">
        <v>175</v>
      </c>
    </row>
    <row r="564" spans="1:5" x14ac:dyDescent="0.2">
      <c r="A564" s="22">
        <v>45489</v>
      </c>
      <c r="B564">
        <v>86788</v>
      </c>
      <c r="C564">
        <v>32701</v>
      </c>
      <c r="D564">
        <v>51800</v>
      </c>
      <c r="E564">
        <v>81</v>
      </c>
    </row>
    <row r="565" spans="1:5" x14ac:dyDescent="0.2">
      <c r="A565" s="22">
        <v>45490</v>
      </c>
      <c r="B565">
        <v>89219</v>
      </c>
      <c r="C565">
        <v>36312</v>
      </c>
      <c r="D565">
        <v>48198</v>
      </c>
      <c r="E565">
        <v>100</v>
      </c>
    </row>
    <row r="566" spans="1:5" x14ac:dyDescent="0.2">
      <c r="A566" s="22">
        <v>45491</v>
      </c>
      <c r="B566">
        <v>85182</v>
      </c>
      <c r="C566">
        <v>30957</v>
      </c>
      <c r="D566">
        <v>62708</v>
      </c>
      <c r="E566">
        <v>78</v>
      </c>
    </row>
    <row r="567" spans="1:5" x14ac:dyDescent="0.2">
      <c r="A567" s="22">
        <v>45492</v>
      </c>
      <c r="B567">
        <v>79420</v>
      </c>
      <c r="C567">
        <v>32362</v>
      </c>
      <c r="D567">
        <v>51660</v>
      </c>
      <c r="E567">
        <v>98</v>
      </c>
    </row>
    <row r="568" spans="1:5" x14ac:dyDescent="0.2">
      <c r="A568" s="22">
        <v>45493</v>
      </c>
      <c r="B568">
        <v>79839</v>
      </c>
      <c r="C568">
        <v>40102</v>
      </c>
      <c r="D568">
        <v>53452</v>
      </c>
      <c r="E568">
        <v>161</v>
      </c>
    </row>
    <row r="569" spans="1:5" x14ac:dyDescent="0.2">
      <c r="A569" s="22">
        <v>45494</v>
      </c>
      <c r="B569">
        <v>77336</v>
      </c>
      <c r="C569">
        <v>37628</v>
      </c>
      <c r="D569">
        <v>60968</v>
      </c>
      <c r="E569">
        <v>110</v>
      </c>
    </row>
    <row r="570" spans="1:5" x14ac:dyDescent="0.2">
      <c r="A570" s="22">
        <v>45495</v>
      </c>
      <c r="B570">
        <v>88211</v>
      </c>
      <c r="C570">
        <v>41418</v>
      </c>
      <c r="D570">
        <v>67470</v>
      </c>
      <c r="E570">
        <v>67</v>
      </c>
    </row>
    <row r="571" spans="1:5" x14ac:dyDescent="0.2">
      <c r="A571" s="22">
        <v>45496</v>
      </c>
      <c r="B571">
        <v>81493</v>
      </c>
      <c r="C571">
        <v>36520</v>
      </c>
      <c r="D571">
        <v>62346</v>
      </c>
      <c r="E571">
        <v>122</v>
      </c>
    </row>
    <row r="572" spans="1:5" x14ac:dyDescent="0.2">
      <c r="A572" s="22">
        <v>45497</v>
      </c>
      <c r="B572">
        <v>88143</v>
      </c>
      <c r="C572">
        <v>39779</v>
      </c>
      <c r="D572">
        <v>60201</v>
      </c>
      <c r="E572">
        <v>92</v>
      </c>
    </row>
    <row r="573" spans="1:5" x14ac:dyDescent="0.2">
      <c r="A573" s="22">
        <v>45498</v>
      </c>
      <c r="B573">
        <v>87430</v>
      </c>
      <c r="C573">
        <v>30704</v>
      </c>
      <c r="D573">
        <v>51822</v>
      </c>
      <c r="E573">
        <v>84</v>
      </c>
    </row>
    <row r="574" spans="1:5" x14ac:dyDescent="0.2">
      <c r="A574" s="22">
        <v>45499</v>
      </c>
      <c r="B574">
        <v>88086</v>
      </c>
      <c r="C574">
        <v>46287</v>
      </c>
      <c r="D574">
        <v>60747</v>
      </c>
      <c r="E574">
        <v>75</v>
      </c>
    </row>
    <row r="575" spans="1:5" x14ac:dyDescent="0.2">
      <c r="A575" s="22">
        <v>45500</v>
      </c>
      <c r="B575">
        <v>89140</v>
      </c>
      <c r="C575">
        <v>39878</v>
      </c>
      <c r="D575">
        <v>65179</v>
      </c>
      <c r="E575">
        <v>139</v>
      </c>
    </row>
    <row r="576" spans="1:5" x14ac:dyDescent="0.2">
      <c r="A576" s="22">
        <v>45501</v>
      </c>
      <c r="B576">
        <v>80028</v>
      </c>
      <c r="C576">
        <v>41887</v>
      </c>
      <c r="D576">
        <v>41761</v>
      </c>
      <c r="E576">
        <v>99</v>
      </c>
    </row>
    <row r="577" spans="1:5" x14ac:dyDescent="0.2">
      <c r="A577" s="22">
        <v>45502</v>
      </c>
      <c r="B577">
        <v>86331</v>
      </c>
      <c r="C577">
        <v>37003</v>
      </c>
      <c r="D577">
        <v>57575</v>
      </c>
      <c r="E577">
        <v>74</v>
      </c>
    </row>
    <row r="578" spans="1:5" x14ac:dyDescent="0.2">
      <c r="A578" s="22">
        <v>45503</v>
      </c>
      <c r="B578">
        <v>79941</v>
      </c>
      <c r="C578">
        <v>33468</v>
      </c>
      <c r="D578">
        <v>52134</v>
      </c>
      <c r="E578">
        <v>155</v>
      </c>
    </row>
    <row r="579" spans="1:5" x14ac:dyDescent="0.2">
      <c r="A579" s="22">
        <v>45504</v>
      </c>
      <c r="B579">
        <v>89662</v>
      </c>
      <c r="C579">
        <v>44303</v>
      </c>
      <c r="D579">
        <v>46689</v>
      </c>
      <c r="E579">
        <v>176</v>
      </c>
    </row>
    <row r="580" spans="1:5" x14ac:dyDescent="0.2">
      <c r="A580" s="22">
        <v>45505</v>
      </c>
      <c r="B580">
        <v>83182</v>
      </c>
      <c r="C580">
        <v>42591</v>
      </c>
      <c r="D580">
        <v>55347</v>
      </c>
      <c r="E580">
        <v>87</v>
      </c>
    </row>
    <row r="581" spans="1:5" x14ac:dyDescent="0.2">
      <c r="A581" s="22">
        <v>45506</v>
      </c>
      <c r="B581">
        <v>82004</v>
      </c>
      <c r="C581">
        <v>32722</v>
      </c>
      <c r="D581">
        <v>64710</v>
      </c>
      <c r="E581">
        <v>114</v>
      </c>
    </row>
    <row r="582" spans="1:5" x14ac:dyDescent="0.2">
      <c r="A582" s="22">
        <v>45507</v>
      </c>
      <c r="B582">
        <v>86702</v>
      </c>
      <c r="C582">
        <v>36613</v>
      </c>
      <c r="D582">
        <v>62198</v>
      </c>
      <c r="E582">
        <v>73</v>
      </c>
    </row>
    <row r="583" spans="1:5" x14ac:dyDescent="0.2">
      <c r="A583" s="22">
        <v>45508</v>
      </c>
      <c r="B583">
        <v>86538</v>
      </c>
      <c r="C583">
        <v>32305</v>
      </c>
      <c r="D583">
        <v>52727</v>
      </c>
      <c r="E583">
        <v>99</v>
      </c>
    </row>
    <row r="584" spans="1:5" x14ac:dyDescent="0.2">
      <c r="A584" s="22">
        <v>45509</v>
      </c>
      <c r="B584">
        <v>76037</v>
      </c>
      <c r="C584">
        <v>31253</v>
      </c>
      <c r="D584">
        <v>45634</v>
      </c>
      <c r="E584">
        <v>69</v>
      </c>
    </row>
    <row r="585" spans="1:5" x14ac:dyDescent="0.2">
      <c r="A585" s="22">
        <v>45510</v>
      </c>
      <c r="B585">
        <v>82786</v>
      </c>
      <c r="C585">
        <v>34863</v>
      </c>
      <c r="D585">
        <v>46336</v>
      </c>
      <c r="E585">
        <v>152</v>
      </c>
    </row>
    <row r="586" spans="1:5" x14ac:dyDescent="0.2">
      <c r="A586" s="22">
        <v>45511</v>
      </c>
      <c r="B586">
        <v>76782</v>
      </c>
      <c r="C586">
        <v>30680</v>
      </c>
      <c r="D586">
        <v>47668</v>
      </c>
      <c r="E586">
        <v>60</v>
      </c>
    </row>
    <row r="587" spans="1:5" x14ac:dyDescent="0.2">
      <c r="A587" s="22">
        <v>45512</v>
      </c>
      <c r="B587">
        <v>75593</v>
      </c>
      <c r="C587">
        <v>30357</v>
      </c>
      <c r="D587">
        <v>41772</v>
      </c>
      <c r="E587">
        <v>64</v>
      </c>
    </row>
    <row r="588" spans="1:5" x14ac:dyDescent="0.2">
      <c r="A588" s="22">
        <v>45513</v>
      </c>
      <c r="B588">
        <v>87847</v>
      </c>
      <c r="C588">
        <v>44677</v>
      </c>
      <c r="D588">
        <v>50162</v>
      </c>
      <c r="E588">
        <v>125</v>
      </c>
    </row>
    <row r="589" spans="1:5" x14ac:dyDescent="0.2">
      <c r="A589" s="22">
        <v>45514</v>
      </c>
      <c r="B589">
        <v>82556</v>
      </c>
      <c r="C589">
        <v>43573</v>
      </c>
      <c r="D589">
        <v>59497</v>
      </c>
      <c r="E589">
        <v>95</v>
      </c>
    </row>
    <row r="590" spans="1:5" x14ac:dyDescent="0.2">
      <c r="A590" s="22">
        <v>45515</v>
      </c>
      <c r="B590">
        <v>84688</v>
      </c>
      <c r="C590">
        <v>37513</v>
      </c>
      <c r="D590">
        <v>42767</v>
      </c>
      <c r="E590">
        <v>148</v>
      </c>
    </row>
    <row r="591" spans="1:5" x14ac:dyDescent="0.2">
      <c r="A591" s="22">
        <v>45516</v>
      </c>
      <c r="B591">
        <v>83318</v>
      </c>
      <c r="C591">
        <v>31386</v>
      </c>
      <c r="D591">
        <v>52634</v>
      </c>
      <c r="E591">
        <v>98</v>
      </c>
    </row>
    <row r="592" spans="1:5" x14ac:dyDescent="0.2">
      <c r="A592" s="22">
        <v>45517</v>
      </c>
      <c r="B592">
        <v>83232</v>
      </c>
      <c r="C592">
        <v>34461</v>
      </c>
      <c r="D592">
        <v>64300</v>
      </c>
      <c r="E592">
        <v>168</v>
      </c>
    </row>
    <row r="593" spans="1:5" x14ac:dyDescent="0.2">
      <c r="A593" s="22">
        <v>45518</v>
      </c>
      <c r="B593">
        <v>75615</v>
      </c>
      <c r="C593">
        <v>41159</v>
      </c>
      <c r="D593">
        <v>54846</v>
      </c>
      <c r="E593">
        <v>63</v>
      </c>
    </row>
    <row r="594" spans="1:5" x14ac:dyDescent="0.2">
      <c r="A594" s="22">
        <v>45519</v>
      </c>
      <c r="B594">
        <v>88607</v>
      </c>
      <c r="C594">
        <v>35817</v>
      </c>
      <c r="D594">
        <v>51991</v>
      </c>
      <c r="E594">
        <v>107</v>
      </c>
    </row>
    <row r="595" spans="1:5" x14ac:dyDescent="0.2">
      <c r="A595" s="22">
        <v>45520</v>
      </c>
      <c r="B595">
        <v>89923</v>
      </c>
      <c r="C595">
        <v>42986</v>
      </c>
      <c r="D595">
        <v>66623</v>
      </c>
      <c r="E595">
        <v>75</v>
      </c>
    </row>
    <row r="596" spans="1:5" x14ac:dyDescent="0.2">
      <c r="A596" s="22">
        <v>45521</v>
      </c>
      <c r="B596">
        <v>87795</v>
      </c>
      <c r="C596">
        <v>44819</v>
      </c>
      <c r="D596">
        <v>69049</v>
      </c>
      <c r="E596">
        <v>69</v>
      </c>
    </row>
    <row r="597" spans="1:5" x14ac:dyDescent="0.2">
      <c r="A597" s="22">
        <v>45522</v>
      </c>
      <c r="B597">
        <v>84144</v>
      </c>
      <c r="C597">
        <v>44496</v>
      </c>
      <c r="D597">
        <v>58823</v>
      </c>
      <c r="E597">
        <v>153</v>
      </c>
    </row>
    <row r="598" spans="1:5" x14ac:dyDescent="0.2">
      <c r="A598" s="22">
        <v>45523</v>
      </c>
      <c r="B598">
        <v>89881</v>
      </c>
      <c r="C598">
        <v>35390</v>
      </c>
      <c r="D598">
        <v>65025</v>
      </c>
      <c r="E598">
        <v>97</v>
      </c>
    </row>
    <row r="599" spans="1:5" x14ac:dyDescent="0.2">
      <c r="A599" s="22">
        <v>45524</v>
      </c>
      <c r="B599">
        <v>87936</v>
      </c>
      <c r="C599">
        <v>47660</v>
      </c>
      <c r="D599">
        <v>67837</v>
      </c>
      <c r="E599">
        <v>162</v>
      </c>
    </row>
    <row r="600" spans="1:5" x14ac:dyDescent="0.2">
      <c r="A600" s="22">
        <v>45525</v>
      </c>
      <c r="B600">
        <v>77932</v>
      </c>
      <c r="C600">
        <v>35942</v>
      </c>
      <c r="D600">
        <v>44837</v>
      </c>
      <c r="E600">
        <v>91</v>
      </c>
    </row>
    <row r="601" spans="1:5" x14ac:dyDescent="0.2">
      <c r="A601" s="22">
        <v>45526</v>
      </c>
      <c r="B601">
        <v>87912</v>
      </c>
      <c r="C601">
        <v>44196</v>
      </c>
      <c r="D601">
        <v>69826</v>
      </c>
      <c r="E601">
        <v>150</v>
      </c>
    </row>
    <row r="602" spans="1:5" x14ac:dyDescent="0.2">
      <c r="A602" s="22">
        <v>45527</v>
      </c>
      <c r="B602">
        <v>75180</v>
      </c>
      <c r="C602">
        <v>37068</v>
      </c>
      <c r="D602">
        <v>43640</v>
      </c>
      <c r="E602">
        <v>78</v>
      </c>
    </row>
    <row r="603" spans="1:5" x14ac:dyDescent="0.2">
      <c r="A603" s="22">
        <v>45528</v>
      </c>
      <c r="B603">
        <v>77805</v>
      </c>
      <c r="C603">
        <v>31670</v>
      </c>
      <c r="D603">
        <v>61570</v>
      </c>
      <c r="E603">
        <v>161</v>
      </c>
    </row>
    <row r="604" spans="1:5" x14ac:dyDescent="0.2">
      <c r="A604" s="22">
        <v>45529</v>
      </c>
      <c r="B604">
        <v>75568</v>
      </c>
      <c r="C604">
        <v>36159</v>
      </c>
      <c r="D604">
        <v>40980</v>
      </c>
      <c r="E604">
        <v>143</v>
      </c>
    </row>
    <row r="605" spans="1:5" x14ac:dyDescent="0.2">
      <c r="A605" s="22">
        <v>45530</v>
      </c>
      <c r="B605">
        <v>87685</v>
      </c>
      <c r="C605">
        <v>45795</v>
      </c>
      <c r="D605">
        <v>64943</v>
      </c>
      <c r="E605">
        <v>146</v>
      </c>
    </row>
    <row r="606" spans="1:5" x14ac:dyDescent="0.2">
      <c r="A606" s="22">
        <v>45531</v>
      </c>
      <c r="B606">
        <v>77137</v>
      </c>
      <c r="C606">
        <v>34355</v>
      </c>
      <c r="D606">
        <v>59708</v>
      </c>
      <c r="E606">
        <v>76</v>
      </c>
    </row>
    <row r="607" spans="1:5" x14ac:dyDescent="0.2">
      <c r="A607" s="22">
        <v>45532</v>
      </c>
      <c r="B607">
        <v>80248</v>
      </c>
      <c r="C607">
        <v>32763</v>
      </c>
      <c r="D607">
        <v>53234</v>
      </c>
      <c r="E607">
        <v>143</v>
      </c>
    </row>
    <row r="608" spans="1:5" x14ac:dyDescent="0.2">
      <c r="A608" s="22">
        <v>45533</v>
      </c>
      <c r="B608">
        <v>82719</v>
      </c>
      <c r="C608">
        <v>34255</v>
      </c>
      <c r="D608">
        <v>58187</v>
      </c>
      <c r="E608">
        <v>177</v>
      </c>
    </row>
    <row r="609" spans="1:5" x14ac:dyDescent="0.2">
      <c r="A609" s="22">
        <v>45534</v>
      </c>
      <c r="B609">
        <v>75927</v>
      </c>
      <c r="C609">
        <v>40956</v>
      </c>
      <c r="D609">
        <v>58306</v>
      </c>
      <c r="E609">
        <v>174</v>
      </c>
    </row>
    <row r="610" spans="1:5" x14ac:dyDescent="0.2">
      <c r="A610" s="22">
        <v>45535</v>
      </c>
      <c r="B610">
        <v>80148</v>
      </c>
      <c r="C610">
        <v>29219</v>
      </c>
      <c r="D610">
        <v>46242</v>
      </c>
      <c r="E610">
        <v>89</v>
      </c>
    </row>
    <row r="611" spans="1:5" x14ac:dyDescent="0.2">
      <c r="A611" s="22">
        <v>45536</v>
      </c>
      <c r="B611">
        <v>77727</v>
      </c>
      <c r="C611">
        <v>42710</v>
      </c>
      <c r="D611">
        <v>54633</v>
      </c>
      <c r="E611">
        <v>140</v>
      </c>
    </row>
    <row r="612" spans="1:5" x14ac:dyDescent="0.2">
      <c r="A612" s="22">
        <v>45537</v>
      </c>
      <c r="B612">
        <v>81299</v>
      </c>
      <c r="C612">
        <v>28592</v>
      </c>
      <c r="D612">
        <v>44767</v>
      </c>
      <c r="E612">
        <v>108</v>
      </c>
    </row>
    <row r="613" spans="1:5" x14ac:dyDescent="0.2">
      <c r="A613" s="22">
        <v>45538</v>
      </c>
      <c r="B613">
        <v>89688</v>
      </c>
      <c r="C613">
        <v>44974</v>
      </c>
      <c r="D613">
        <v>49325</v>
      </c>
      <c r="E613">
        <v>113</v>
      </c>
    </row>
    <row r="614" spans="1:5" x14ac:dyDescent="0.2">
      <c r="A614" s="22">
        <v>45539</v>
      </c>
      <c r="B614">
        <v>85575</v>
      </c>
      <c r="C614">
        <v>38286</v>
      </c>
      <c r="D614">
        <v>48900</v>
      </c>
      <c r="E614">
        <v>153</v>
      </c>
    </row>
    <row r="615" spans="1:5" x14ac:dyDescent="0.2">
      <c r="A615" s="22">
        <v>45540</v>
      </c>
      <c r="B615">
        <v>83598</v>
      </c>
      <c r="C615">
        <v>40634</v>
      </c>
      <c r="D615">
        <v>55938</v>
      </c>
      <c r="E615">
        <v>141</v>
      </c>
    </row>
    <row r="616" spans="1:5" x14ac:dyDescent="0.2">
      <c r="A616" s="22">
        <v>45541</v>
      </c>
      <c r="B616">
        <v>75883</v>
      </c>
      <c r="C616">
        <v>36927</v>
      </c>
      <c r="D616">
        <v>47702</v>
      </c>
      <c r="E616">
        <v>73</v>
      </c>
    </row>
    <row r="617" spans="1:5" x14ac:dyDescent="0.2">
      <c r="A617" s="22">
        <v>45542</v>
      </c>
      <c r="B617">
        <v>88517</v>
      </c>
      <c r="C617">
        <v>37718</v>
      </c>
      <c r="D617">
        <v>50666</v>
      </c>
      <c r="E617">
        <v>109</v>
      </c>
    </row>
    <row r="618" spans="1:5" x14ac:dyDescent="0.2">
      <c r="A618" s="22">
        <v>45543</v>
      </c>
      <c r="B618">
        <v>84531</v>
      </c>
      <c r="C618">
        <v>31785</v>
      </c>
      <c r="D618">
        <v>65441</v>
      </c>
      <c r="E618">
        <v>142</v>
      </c>
    </row>
    <row r="619" spans="1:5" x14ac:dyDescent="0.2">
      <c r="A619" s="22">
        <v>45544</v>
      </c>
      <c r="B619">
        <v>87416</v>
      </c>
      <c r="C619">
        <v>33814</v>
      </c>
      <c r="D619">
        <v>56463</v>
      </c>
      <c r="E619">
        <v>88</v>
      </c>
    </row>
    <row r="620" spans="1:5" x14ac:dyDescent="0.2">
      <c r="A620" s="22">
        <v>45545</v>
      </c>
      <c r="B620">
        <v>87052</v>
      </c>
      <c r="C620">
        <v>41533</v>
      </c>
      <c r="D620">
        <v>58425</v>
      </c>
      <c r="E620">
        <v>153</v>
      </c>
    </row>
    <row r="621" spans="1:5" x14ac:dyDescent="0.2">
      <c r="A621" s="22">
        <v>45546</v>
      </c>
      <c r="B621">
        <v>89221</v>
      </c>
      <c r="C621">
        <v>36404</v>
      </c>
      <c r="D621">
        <v>48623</v>
      </c>
      <c r="E621">
        <v>94</v>
      </c>
    </row>
    <row r="622" spans="1:5" x14ac:dyDescent="0.2">
      <c r="A622" s="22">
        <v>45547</v>
      </c>
      <c r="B622">
        <v>85521</v>
      </c>
      <c r="C622">
        <v>38512</v>
      </c>
      <c r="D622">
        <v>64994</v>
      </c>
      <c r="E622">
        <v>175</v>
      </c>
    </row>
    <row r="623" spans="1:5" x14ac:dyDescent="0.2">
      <c r="A623" s="22">
        <v>45548</v>
      </c>
      <c r="B623">
        <v>81859</v>
      </c>
      <c r="C623">
        <v>33961</v>
      </c>
      <c r="D623">
        <v>64925</v>
      </c>
      <c r="E623">
        <v>99</v>
      </c>
    </row>
    <row r="624" spans="1:5" x14ac:dyDescent="0.2">
      <c r="A624" s="22">
        <v>45549</v>
      </c>
      <c r="B624">
        <v>79829</v>
      </c>
      <c r="C624">
        <v>31622</v>
      </c>
      <c r="D624">
        <v>48761</v>
      </c>
      <c r="E624">
        <v>133</v>
      </c>
    </row>
    <row r="625" spans="1:5" x14ac:dyDescent="0.2">
      <c r="A625" s="22">
        <v>45550</v>
      </c>
      <c r="B625">
        <v>87893</v>
      </c>
      <c r="C625">
        <v>33393</v>
      </c>
      <c r="D625">
        <v>45307</v>
      </c>
      <c r="E625">
        <v>147</v>
      </c>
    </row>
    <row r="626" spans="1:5" x14ac:dyDescent="0.2">
      <c r="A626" s="22">
        <v>45551</v>
      </c>
      <c r="B626">
        <v>80621</v>
      </c>
      <c r="C626">
        <v>40957</v>
      </c>
      <c r="D626">
        <v>50669</v>
      </c>
      <c r="E626">
        <v>70</v>
      </c>
    </row>
    <row r="627" spans="1:5" x14ac:dyDescent="0.2">
      <c r="A627" s="22">
        <v>45552</v>
      </c>
      <c r="B627">
        <v>79944</v>
      </c>
      <c r="C627">
        <v>38262</v>
      </c>
      <c r="D627">
        <v>55135</v>
      </c>
      <c r="E627">
        <v>148</v>
      </c>
    </row>
    <row r="628" spans="1:5" x14ac:dyDescent="0.2">
      <c r="A628" s="22">
        <v>45553</v>
      </c>
      <c r="B628">
        <v>79495</v>
      </c>
      <c r="C628">
        <v>33979</v>
      </c>
      <c r="D628">
        <v>62442</v>
      </c>
      <c r="E628">
        <v>170</v>
      </c>
    </row>
    <row r="629" spans="1:5" x14ac:dyDescent="0.2">
      <c r="A629" s="22">
        <v>45554</v>
      </c>
      <c r="B629">
        <v>78385</v>
      </c>
      <c r="C629">
        <v>32180</v>
      </c>
      <c r="D629">
        <v>50515</v>
      </c>
      <c r="E629">
        <v>156</v>
      </c>
    </row>
    <row r="630" spans="1:5" x14ac:dyDescent="0.2">
      <c r="A630" s="22">
        <v>45555</v>
      </c>
      <c r="B630">
        <v>75866</v>
      </c>
      <c r="C630">
        <v>28544</v>
      </c>
      <c r="D630">
        <v>60184</v>
      </c>
      <c r="E630">
        <v>99</v>
      </c>
    </row>
    <row r="631" spans="1:5" x14ac:dyDescent="0.2">
      <c r="A631" s="22">
        <v>45556</v>
      </c>
      <c r="B631">
        <v>86737</v>
      </c>
      <c r="C631">
        <v>42790</v>
      </c>
      <c r="D631">
        <v>68609</v>
      </c>
      <c r="E631">
        <v>131</v>
      </c>
    </row>
    <row r="632" spans="1:5" x14ac:dyDescent="0.2">
      <c r="A632" s="22">
        <v>45557</v>
      </c>
      <c r="B632">
        <v>87935</v>
      </c>
      <c r="C632">
        <v>37244</v>
      </c>
      <c r="D632">
        <v>48575</v>
      </c>
      <c r="E632">
        <v>100</v>
      </c>
    </row>
    <row r="633" spans="1:5" x14ac:dyDescent="0.2">
      <c r="A633" s="22">
        <v>45558</v>
      </c>
      <c r="B633">
        <v>84599</v>
      </c>
      <c r="C633">
        <v>37527</v>
      </c>
      <c r="D633">
        <v>65768</v>
      </c>
      <c r="E633">
        <v>101</v>
      </c>
    </row>
    <row r="634" spans="1:5" x14ac:dyDescent="0.2">
      <c r="A634" s="22">
        <v>45559</v>
      </c>
      <c r="B634">
        <v>76195</v>
      </c>
      <c r="C634">
        <v>31034</v>
      </c>
      <c r="D634">
        <v>40197</v>
      </c>
      <c r="E634">
        <v>109</v>
      </c>
    </row>
    <row r="635" spans="1:5" x14ac:dyDescent="0.2">
      <c r="A635" s="22">
        <v>45560</v>
      </c>
      <c r="B635">
        <v>82160</v>
      </c>
      <c r="C635">
        <v>44162</v>
      </c>
      <c r="D635">
        <v>46480</v>
      </c>
      <c r="E635">
        <v>106</v>
      </c>
    </row>
    <row r="636" spans="1:5" x14ac:dyDescent="0.2">
      <c r="A636" s="22">
        <v>45561</v>
      </c>
      <c r="B636">
        <v>88351</v>
      </c>
      <c r="C636">
        <v>40387</v>
      </c>
      <c r="D636">
        <v>69487</v>
      </c>
      <c r="E636">
        <v>160</v>
      </c>
    </row>
    <row r="637" spans="1:5" x14ac:dyDescent="0.2">
      <c r="A637" s="22">
        <v>45562</v>
      </c>
      <c r="B637">
        <v>87018</v>
      </c>
      <c r="C637">
        <v>42081</v>
      </c>
      <c r="D637">
        <v>60792</v>
      </c>
      <c r="E637">
        <v>164</v>
      </c>
    </row>
    <row r="638" spans="1:5" x14ac:dyDescent="0.2">
      <c r="A638" s="22">
        <v>45563</v>
      </c>
      <c r="B638">
        <v>81440</v>
      </c>
      <c r="C638">
        <v>34116</v>
      </c>
      <c r="D638">
        <v>57149</v>
      </c>
      <c r="E638">
        <v>105</v>
      </c>
    </row>
    <row r="639" spans="1:5" x14ac:dyDescent="0.2">
      <c r="A639" s="22">
        <v>45564</v>
      </c>
      <c r="B639">
        <v>77000</v>
      </c>
      <c r="C639">
        <v>36885</v>
      </c>
      <c r="D639">
        <v>55472</v>
      </c>
      <c r="E639">
        <v>96</v>
      </c>
    </row>
    <row r="640" spans="1:5" x14ac:dyDescent="0.2">
      <c r="A640" s="22">
        <v>45565</v>
      </c>
      <c r="B640">
        <v>83769</v>
      </c>
      <c r="C640">
        <v>42534</v>
      </c>
      <c r="D640">
        <v>51603</v>
      </c>
      <c r="E640">
        <v>78</v>
      </c>
    </row>
    <row r="641" spans="1:5" x14ac:dyDescent="0.2">
      <c r="A641" s="22">
        <v>45566</v>
      </c>
      <c r="B641">
        <v>87445</v>
      </c>
      <c r="C641">
        <v>45756</v>
      </c>
      <c r="D641">
        <v>64620</v>
      </c>
      <c r="E641">
        <v>114</v>
      </c>
    </row>
    <row r="642" spans="1:5" x14ac:dyDescent="0.2">
      <c r="A642" s="22">
        <v>45567</v>
      </c>
      <c r="B642">
        <v>81573</v>
      </c>
      <c r="C642">
        <v>43879</v>
      </c>
      <c r="D642">
        <v>61390</v>
      </c>
      <c r="E642">
        <v>160</v>
      </c>
    </row>
    <row r="643" spans="1:5" x14ac:dyDescent="0.2">
      <c r="A643" s="22">
        <v>45568</v>
      </c>
      <c r="B643">
        <v>89848</v>
      </c>
      <c r="C643">
        <v>40920</v>
      </c>
      <c r="D643">
        <v>55007</v>
      </c>
      <c r="E643">
        <v>174</v>
      </c>
    </row>
    <row r="644" spans="1:5" x14ac:dyDescent="0.2">
      <c r="A644" s="22">
        <v>45569</v>
      </c>
      <c r="B644">
        <v>87815</v>
      </c>
      <c r="C644">
        <v>45034</v>
      </c>
      <c r="D644">
        <v>64545</v>
      </c>
      <c r="E644">
        <v>77</v>
      </c>
    </row>
    <row r="645" spans="1:5" x14ac:dyDescent="0.2">
      <c r="A645" s="22">
        <v>45570</v>
      </c>
      <c r="B645">
        <v>81997</v>
      </c>
      <c r="C645">
        <v>41386</v>
      </c>
      <c r="D645">
        <v>57100</v>
      </c>
      <c r="E645">
        <v>167</v>
      </c>
    </row>
    <row r="646" spans="1:5" x14ac:dyDescent="0.2">
      <c r="A646" s="22">
        <v>45571</v>
      </c>
      <c r="B646">
        <v>75513</v>
      </c>
      <c r="C646">
        <v>32720</v>
      </c>
      <c r="D646">
        <v>39178</v>
      </c>
      <c r="E646">
        <v>165</v>
      </c>
    </row>
    <row r="647" spans="1:5" x14ac:dyDescent="0.2">
      <c r="A647" s="22">
        <v>45572</v>
      </c>
      <c r="B647">
        <v>79536</v>
      </c>
      <c r="C647">
        <v>32886</v>
      </c>
      <c r="D647">
        <v>61848</v>
      </c>
      <c r="E647">
        <v>69</v>
      </c>
    </row>
    <row r="648" spans="1:5" x14ac:dyDescent="0.2">
      <c r="A648" s="22">
        <v>45573</v>
      </c>
      <c r="B648">
        <v>85568</v>
      </c>
      <c r="C648">
        <v>32697</v>
      </c>
      <c r="D648">
        <v>49841</v>
      </c>
      <c r="E648">
        <v>66</v>
      </c>
    </row>
    <row r="649" spans="1:5" x14ac:dyDescent="0.2">
      <c r="A649" s="22">
        <v>45574</v>
      </c>
      <c r="B649">
        <v>85333</v>
      </c>
      <c r="C649">
        <v>36476</v>
      </c>
      <c r="D649">
        <v>47094</v>
      </c>
      <c r="E649">
        <v>126</v>
      </c>
    </row>
    <row r="650" spans="1:5" x14ac:dyDescent="0.2">
      <c r="A650" s="22">
        <v>45575</v>
      </c>
      <c r="B650">
        <v>84641</v>
      </c>
      <c r="C650">
        <v>40495</v>
      </c>
      <c r="D650">
        <v>63343</v>
      </c>
      <c r="E650">
        <v>104</v>
      </c>
    </row>
    <row r="651" spans="1:5" x14ac:dyDescent="0.2">
      <c r="A651" s="22">
        <v>45576</v>
      </c>
      <c r="B651">
        <v>84169</v>
      </c>
      <c r="C651">
        <v>35181</v>
      </c>
      <c r="D651">
        <v>57154</v>
      </c>
      <c r="E651">
        <v>121</v>
      </c>
    </row>
    <row r="652" spans="1:5" x14ac:dyDescent="0.2">
      <c r="A652" s="22">
        <v>45577</v>
      </c>
      <c r="B652">
        <v>89227</v>
      </c>
      <c r="C652">
        <v>44456</v>
      </c>
      <c r="D652">
        <v>54476</v>
      </c>
      <c r="E652">
        <v>115</v>
      </c>
    </row>
    <row r="653" spans="1:5" x14ac:dyDescent="0.2">
      <c r="A653" s="22">
        <v>45578</v>
      </c>
      <c r="B653">
        <v>83470</v>
      </c>
      <c r="C653">
        <v>35008</v>
      </c>
      <c r="D653">
        <v>53180</v>
      </c>
      <c r="E653">
        <v>138</v>
      </c>
    </row>
    <row r="654" spans="1:5" x14ac:dyDescent="0.2">
      <c r="A654" s="22">
        <v>45579</v>
      </c>
      <c r="B654">
        <v>89837</v>
      </c>
      <c r="C654">
        <v>49215</v>
      </c>
      <c r="D654">
        <v>66591</v>
      </c>
      <c r="E654">
        <v>151</v>
      </c>
    </row>
    <row r="655" spans="1:5" x14ac:dyDescent="0.2">
      <c r="A655" s="22">
        <v>45580</v>
      </c>
      <c r="B655">
        <v>77675</v>
      </c>
      <c r="C655">
        <v>37327</v>
      </c>
      <c r="D655">
        <v>56726</v>
      </c>
      <c r="E655">
        <v>177</v>
      </c>
    </row>
    <row r="656" spans="1:5" x14ac:dyDescent="0.2">
      <c r="A656" s="22">
        <v>45581</v>
      </c>
      <c r="B656">
        <v>80759</v>
      </c>
      <c r="C656">
        <v>31539</v>
      </c>
      <c r="D656">
        <v>42948</v>
      </c>
      <c r="E656">
        <v>134</v>
      </c>
    </row>
    <row r="657" spans="1:5" x14ac:dyDescent="0.2">
      <c r="A657" s="22">
        <v>45582</v>
      </c>
      <c r="B657">
        <v>77229</v>
      </c>
      <c r="C657">
        <v>27430</v>
      </c>
      <c r="D657">
        <v>41179</v>
      </c>
      <c r="E657">
        <v>158</v>
      </c>
    </row>
    <row r="658" spans="1:5" x14ac:dyDescent="0.2">
      <c r="A658" s="22">
        <v>45583</v>
      </c>
      <c r="B658">
        <v>82138</v>
      </c>
      <c r="C658">
        <v>38693</v>
      </c>
      <c r="D658">
        <v>53578</v>
      </c>
      <c r="E658">
        <v>117</v>
      </c>
    </row>
    <row r="659" spans="1:5" x14ac:dyDescent="0.2">
      <c r="A659" s="22">
        <v>45584</v>
      </c>
      <c r="B659">
        <v>86092</v>
      </c>
      <c r="C659">
        <v>40346</v>
      </c>
      <c r="D659">
        <v>67021</v>
      </c>
      <c r="E659">
        <v>136</v>
      </c>
    </row>
    <row r="660" spans="1:5" x14ac:dyDescent="0.2">
      <c r="A660" s="22">
        <v>45585</v>
      </c>
      <c r="B660">
        <v>78103</v>
      </c>
      <c r="C660">
        <v>37757</v>
      </c>
      <c r="D660">
        <v>50343</v>
      </c>
      <c r="E660">
        <v>61</v>
      </c>
    </row>
    <row r="661" spans="1:5" x14ac:dyDescent="0.2">
      <c r="A661" s="22">
        <v>45586</v>
      </c>
      <c r="B661">
        <v>81953</v>
      </c>
      <c r="C661">
        <v>44577</v>
      </c>
      <c r="D661">
        <v>55066</v>
      </c>
      <c r="E661">
        <v>157</v>
      </c>
    </row>
    <row r="662" spans="1:5" x14ac:dyDescent="0.2">
      <c r="A662" s="22">
        <v>45587</v>
      </c>
      <c r="B662">
        <v>85800</v>
      </c>
      <c r="C662">
        <v>36682</v>
      </c>
      <c r="D662">
        <v>56359</v>
      </c>
      <c r="E662">
        <v>124</v>
      </c>
    </row>
    <row r="663" spans="1:5" x14ac:dyDescent="0.2">
      <c r="A663" s="22">
        <v>45588</v>
      </c>
      <c r="B663">
        <v>87696</v>
      </c>
      <c r="C663">
        <v>30806</v>
      </c>
      <c r="D663">
        <v>68654</v>
      </c>
      <c r="E663">
        <v>169</v>
      </c>
    </row>
    <row r="664" spans="1:5" x14ac:dyDescent="0.2">
      <c r="A664" s="22">
        <v>45589</v>
      </c>
      <c r="B664">
        <v>79330</v>
      </c>
      <c r="C664">
        <v>40598</v>
      </c>
      <c r="D664">
        <v>59959</v>
      </c>
      <c r="E664">
        <v>62</v>
      </c>
    </row>
    <row r="665" spans="1:5" x14ac:dyDescent="0.2">
      <c r="A665" s="22">
        <v>45590</v>
      </c>
      <c r="B665">
        <v>83412</v>
      </c>
      <c r="C665">
        <v>42162</v>
      </c>
      <c r="D665">
        <v>60705</v>
      </c>
      <c r="E665">
        <v>132</v>
      </c>
    </row>
    <row r="666" spans="1:5" x14ac:dyDescent="0.2">
      <c r="A666" s="22">
        <v>45591</v>
      </c>
      <c r="B666">
        <v>81331</v>
      </c>
      <c r="C666">
        <v>38835</v>
      </c>
      <c r="D666">
        <v>52738</v>
      </c>
      <c r="E666">
        <v>172</v>
      </c>
    </row>
    <row r="667" spans="1:5" x14ac:dyDescent="0.2">
      <c r="A667" s="22">
        <v>45592</v>
      </c>
      <c r="B667">
        <v>76330</v>
      </c>
      <c r="C667">
        <v>26802</v>
      </c>
      <c r="D667">
        <v>48311</v>
      </c>
      <c r="E667">
        <v>127</v>
      </c>
    </row>
    <row r="668" spans="1:5" x14ac:dyDescent="0.2">
      <c r="A668" s="22">
        <v>45593</v>
      </c>
      <c r="B668">
        <v>89783</v>
      </c>
      <c r="C668">
        <v>45285</v>
      </c>
      <c r="D668">
        <v>56294</v>
      </c>
      <c r="E668">
        <v>158</v>
      </c>
    </row>
    <row r="669" spans="1:5" x14ac:dyDescent="0.2">
      <c r="A669" s="22">
        <v>45594</v>
      </c>
      <c r="B669">
        <v>86671</v>
      </c>
      <c r="C669">
        <v>45673</v>
      </c>
      <c r="D669">
        <v>52496</v>
      </c>
      <c r="E669">
        <v>155</v>
      </c>
    </row>
    <row r="670" spans="1:5" x14ac:dyDescent="0.2">
      <c r="A670" s="22">
        <v>45595</v>
      </c>
      <c r="B670">
        <v>86310</v>
      </c>
      <c r="C670">
        <v>42759</v>
      </c>
      <c r="D670">
        <v>45622</v>
      </c>
      <c r="E670">
        <v>78</v>
      </c>
    </row>
    <row r="671" spans="1:5" x14ac:dyDescent="0.2">
      <c r="A671" s="22">
        <v>45596</v>
      </c>
      <c r="B671">
        <v>77496</v>
      </c>
      <c r="C671">
        <v>30434</v>
      </c>
      <c r="D671">
        <v>45480</v>
      </c>
      <c r="E671">
        <v>67</v>
      </c>
    </row>
    <row r="672" spans="1:5" x14ac:dyDescent="0.2">
      <c r="A672" s="22">
        <v>45597</v>
      </c>
      <c r="B672">
        <v>88321</v>
      </c>
      <c r="C672">
        <v>44371</v>
      </c>
      <c r="D672">
        <v>44546</v>
      </c>
      <c r="E672">
        <v>76</v>
      </c>
    </row>
    <row r="673" spans="1:5" x14ac:dyDescent="0.2">
      <c r="A673" s="22">
        <v>45598</v>
      </c>
      <c r="B673">
        <v>88659</v>
      </c>
      <c r="C673">
        <v>48228</v>
      </c>
      <c r="D673">
        <v>45912</v>
      </c>
      <c r="E673">
        <v>177</v>
      </c>
    </row>
    <row r="674" spans="1:5" x14ac:dyDescent="0.2">
      <c r="A674" s="22">
        <v>45599</v>
      </c>
      <c r="B674">
        <v>86879</v>
      </c>
      <c r="C674">
        <v>31141</v>
      </c>
      <c r="D674">
        <v>52843</v>
      </c>
      <c r="E674">
        <v>175</v>
      </c>
    </row>
    <row r="675" spans="1:5" x14ac:dyDescent="0.2">
      <c r="A675" s="22">
        <v>45600</v>
      </c>
      <c r="B675">
        <v>84688</v>
      </c>
      <c r="C675">
        <v>37910</v>
      </c>
      <c r="D675">
        <v>52588</v>
      </c>
      <c r="E675">
        <v>116</v>
      </c>
    </row>
    <row r="676" spans="1:5" x14ac:dyDescent="0.2">
      <c r="A676" s="22">
        <v>45601</v>
      </c>
      <c r="B676">
        <v>77583</v>
      </c>
      <c r="C676">
        <v>40137</v>
      </c>
      <c r="D676">
        <v>41854</v>
      </c>
      <c r="E676">
        <v>64</v>
      </c>
    </row>
    <row r="677" spans="1:5" x14ac:dyDescent="0.2">
      <c r="A677" s="22">
        <v>45602</v>
      </c>
      <c r="B677">
        <v>83148</v>
      </c>
      <c r="C677">
        <v>41642</v>
      </c>
      <c r="D677">
        <v>51102</v>
      </c>
      <c r="E677">
        <v>82</v>
      </c>
    </row>
    <row r="678" spans="1:5" x14ac:dyDescent="0.2">
      <c r="A678" s="22">
        <v>45603</v>
      </c>
      <c r="B678">
        <v>77853</v>
      </c>
      <c r="C678">
        <v>27736</v>
      </c>
      <c r="D678">
        <v>38927</v>
      </c>
      <c r="E678">
        <v>83</v>
      </c>
    </row>
    <row r="679" spans="1:5" x14ac:dyDescent="0.2">
      <c r="A679" s="22">
        <v>45604</v>
      </c>
      <c r="B679">
        <v>84691</v>
      </c>
      <c r="C679">
        <v>30497</v>
      </c>
      <c r="D679">
        <v>65572</v>
      </c>
      <c r="E679">
        <v>126</v>
      </c>
    </row>
    <row r="680" spans="1:5" x14ac:dyDescent="0.2">
      <c r="A680" s="22">
        <v>45605</v>
      </c>
      <c r="B680">
        <v>83166</v>
      </c>
      <c r="C680">
        <v>44985</v>
      </c>
      <c r="D680">
        <v>49004</v>
      </c>
      <c r="E680">
        <v>96</v>
      </c>
    </row>
    <row r="681" spans="1:5" x14ac:dyDescent="0.2">
      <c r="A681" s="22">
        <v>45606</v>
      </c>
      <c r="B681">
        <v>85257</v>
      </c>
      <c r="C681">
        <v>41343</v>
      </c>
      <c r="D681">
        <v>53357</v>
      </c>
      <c r="E681">
        <v>167</v>
      </c>
    </row>
    <row r="682" spans="1:5" x14ac:dyDescent="0.2">
      <c r="A682" s="22">
        <v>45607</v>
      </c>
      <c r="B682">
        <v>78123</v>
      </c>
      <c r="C682">
        <v>39365</v>
      </c>
      <c r="D682">
        <v>56860</v>
      </c>
      <c r="E682">
        <v>65</v>
      </c>
    </row>
    <row r="683" spans="1:5" x14ac:dyDescent="0.2">
      <c r="A683" s="22">
        <v>45608</v>
      </c>
      <c r="B683">
        <v>87378</v>
      </c>
      <c r="C683">
        <v>38987</v>
      </c>
      <c r="D683">
        <v>64355</v>
      </c>
      <c r="E683">
        <v>84</v>
      </c>
    </row>
    <row r="684" spans="1:5" x14ac:dyDescent="0.2">
      <c r="A684" s="22">
        <v>45609</v>
      </c>
      <c r="B684">
        <v>86266</v>
      </c>
      <c r="C684">
        <v>33157</v>
      </c>
      <c r="D684">
        <v>64474</v>
      </c>
      <c r="E684">
        <v>154</v>
      </c>
    </row>
    <row r="685" spans="1:5" x14ac:dyDescent="0.2">
      <c r="A685" s="22">
        <v>45610</v>
      </c>
      <c r="B685">
        <v>82605</v>
      </c>
      <c r="C685">
        <v>42306</v>
      </c>
      <c r="D685">
        <v>55919</v>
      </c>
      <c r="E685">
        <v>154</v>
      </c>
    </row>
    <row r="686" spans="1:5" x14ac:dyDescent="0.2">
      <c r="A686" s="22">
        <v>45611</v>
      </c>
      <c r="B686">
        <v>84937</v>
      </c>
      <c r="C686">
        <v>35649</v>
      </c>
      <c r="D686">
        <v>47753</v>
      </c>
      <c r="E686">
        <v>163</v>
      </c>
    </row>
    <row r="687" spans="1:5" x14ac:dyDescent="0.2">
      <c r="A687" s="22">
        <v>45612</v>
      </c>
      <c r="B687">
        <v>87722</v>
      </c>
      <c r="C687">
        <v>39548</v>
      </c>
      <c r="D687">
        <v>57860</v>
      </c>
      <c r="E687">
        <v>104</v>
      </c>
    </row>
    <row r="688" spans="1:5" x14ac:dyDescent="0.2">
      <c r="A688" s="22">
        <v>45613</v>
      </c>
      <c r="B688">
        <v>86213</v>
      </c>
      <c r="C688">
        <v>30386</v>
      </c>
      <c r="D688">
        <v>47221</v>
      </c>
      <c r="E688">
        <v>167</v>
      </c>
    </row>
    <row r="689" spans="1:5" x14ac:dyDescent="0.2">
      <c r="A689" s="22">
        <v>45614</v>
      </c>
      <c r="B689">
        <v>81572</v>
      </c>
      <c r="C689">
        <v>39531</v>
      </c>
      <c r="D689">
        <v>48154</v>
      </c>
      <c r="E689">
        <v>150</v>
      </c>
    </row>
    <row r="690" spans="1:5" x14ac:dyDescent="0.2">
      <c r="A690" s="22">
        <v>45615</v>
      </c>
      <c r="B690">
        <v>80762</v>
      </c>
      <c r="C690">
        <v>32257</v>
      </c>
      <c r="D690">
        <v>60641</v>
      </c>
      <c r="E690">
        <v>178</v>
      </c>
    </row>
    <row r="691" spans="1:5" x14ac:dyDescent="0.2">
      <c r="A691" s="22">
        <v>45616</v>
      </c>
      <c r="B691">
        <v>80906</v>
      </c>
      <c r="C691">
        <v>39306</v>
      </c>
      <c r="D691">
        <v>45493</v>
      </c>
      <c r="E691">
        <v>120</v>
      </c>
    </row>
    <row r="692" spans="1:5" x14ac:dyDescent="0.2">
      <c r="A692" s="22">
        <v>45617</v>
      </c>
      <c r="B692">
        <v>79915</v>
      </c>
      <c r="C692">
        <v>42580</v>
      </c>
      <c r="D692">
        <v>43043</v>
      </c>
      <c r="E692">
        <v>174</v>
      </c>
    </row>
    <row r="693" spans="1:5" x14ac:dyDescent="0.2">
      <c r="A693" s="22">
        <v>45618</v>
      </c>
      <c r="B693">
        <v>77048</v>
      </c>
      <c r="C693">
        <v>32037</v>
      </c>
      <c r="D693">
        <v>41381</v>
      </c>
      <c r="E693">
        <v>114</v>
      </c>
    </row>
    <row r="694" spans="1:5" x14ac:dyDescent="0.2">
      <c r="A694" s="22">
        <v>45619</v>
      </c>
      <c r="B694">
        <v>81072</v>
      </c>
      <c r="C694">
        <v>30080</v>
      </c>
      <c r="D694">
        <v>60134</v>
      </c>
      <c r="E694">
        <v>125</v>
      </c>
    </row>
    <row r="695" spans="1:5" x14ac:dyDescent="0.2">
      <c r="A695" s="22">
        <v>45620</v>
      </c>
      <c r="B695">
        <v>79862</v>
      </c>
      <c r="C695">
        <v>29091</v>
      </c>
      <c r="D695">
        <v>61219</v>
      </c>
      <c r="E695">
        <v>122</v>
      </c>
    </row>
    <row r="696" spans="1:5" x14ac:dyDescent="0.2">
      <c r="A696" s="22">
        <v>45621</v>
      </c>
      <c r="B696">
        <v>81487</v>
      </c>
      <c r="C696">
        <v>34715</v>
      </c>
      <c r="D696">
        <v>53858</v>
      </c>
      <c r="E696">
        <v>104</v>
      </c>
    </row>
    <row r="697" spans="1:5" x14ac:dyDescent="0.2">
      <c r="A697" s="22">
        <v>45622</v>
      </c>
      <c r="B697">
        <v>75280</v>
      </c>
      <c r="C697">
        <v>27057</v>
      </c>
      <c r="D697">
        <v>56595</v>
      </c>
      <c r="E697">
        <v>99</v>
      </c>
    </row>
    <row r="698" spans="1:5" x14ac:dyDescent="0.2">
      <c r="A698" s="22">
        <v>45623</v>
      </c>
      <c r="B698">
        <v>88761</v>
      </c>
      <c r="C698">
        <v>37617</v>
      </c>
      <c r="D698">
        <v>66014</v>
      </c>
      <c r="E698">
        <v>96</v>
      </c>
    </row>
    <row r="699" spans="1:5" x14ac:dyDescent="0.2">
      <c r="A699" s="22">
        <v>45624</v>
      </c>
      <c r="B699">
        <v>75381</v>
      </c>
      <c r="C699">
        <v>36407</v>
      </c>
      <c r="D699">
        <v>54625</v>
      </c>
      <c r="E699">
        <v>73</v>
      </c>
    </row>
    <row r="700" spans="1:5" x14ac:dyDescent="0.2">
      <c r="A700" s="22">
        <v>45625</v>
      </c>
      <c r="B700">
        <v>88247</v>
      </c>
      <c r="C700">
        <v>41467</v>
      </c>
      <c r="D700">
        <v>66815</v>
      </c>
      <c r="E700">
        <v>141</v>
      </c>
    </row>
    <row r="701" spans="1:5" x14ac:dyDescent="0.2">
      <c r="A701" s="22">
        <v>45626</v>
      </c>
      <c r="B701">
        <v>84291</v>
      </c>
      <c r="C701">
        <v>42777</v>
      </c>
      <c r="D701">
        <v>60883</v>
      </c>
      <c r="E701">
        <v>163</v>
      </c>
    </row>
    <row r="702" spans="1:5" x14ac:dyDescent="0.2">
      <c r="A702" s="22">
        <v>45627</v>
      </c>
      <c r="B702">
        <v>86570</v>
      </c>
      <c r="C702">
        <v>35298</v>
      </c>
      <c r="D702">
        <v>68470</v>
      </c>
      <c r="E702">
        <v>156</v>
      </c>
    </row>
    <row r="703" spans="1:5" x14ac:dyDescent="0.2">
      <c r="A703" s="22">
        <v>45628</v>
      </c>
      <c r="B703">
        <v>87148</v>
      </c>
      <c r="C703">
        <v>37865</v>
      </c>
      <c r="D703">
        <v>53268</v>
      </c>
      <c r="E703">
        <v>81</v>
      </c>
    </row>
    <row r="704" spans="1:5" x14ac:dyDescent="0.2">
      <c r="A704" s="22">
        <v>45629</v>
      </c>
      <c r="B704">
        <v>86812</v>
      </c>
      <c r="C704">
        <v>42297</v>
      </c>
      <c r="D704">
        <v>60227</v>
      </c>
      <c r="E704">
        <v>101</v>
      </c>
    </row>
    <row r="705" spans="1:5" x14ac:dyDescent="0.2">
      <c r="A705" s="22">
        <v>45630</v>
      </c>
      <c r="B705">
        <v>76397</v>
      </c>
      <c r="C705">
        <v>37380</v>
      </c>
      <c r="D705">
        <v>57415</v>
      </c>
      <c r="E705">
        <v>179</v>
      </c>
    </row>
    <row r="706" spans="1:5" x14ac:dyDescent="0.2">
      <c r="A706" s="22">
        <v>45631</v>
      </c>
      <c r="B706">
        <v>78150</v>
      </c>
      <c r="C706">
        <v>41081</v>
      </c>
      <c r="D706">
        <v>52599</v>
      </c>
      <c r="E706">
        <v>162</v>
      </c>
    </row>
    <row r="707" spans="1:5" x14ac:dyDescent="0.2">
      <c r="A707" s="22">
        <v>45632</v>
      </c>
      <c r="B707">
        <v>79023</v>
      </c>
      <c r="C707">
        <v>33097</v>
      </c>
      <c r="D707">
        <v>46020</v>
      </c>
      <c r="E707">
        <v>88</v>
      </c>
    </row>
    <row r="708" spans="1:5" x14ac:dyDescent="0.2">
      <c r="A708" s="22">
        <v>45633</v>
      </c>
      <c r="B708">
        <v>84153</v>
      </c>
      <c r="C708">
        <v>37301</v>
      </c>
      <c r="D708">
        <v>55480</v>
      </c>
      <c r="E708">
        <v>143</v>
      </c>
    </row>
    <row r="709" spans="1:5" x14ac:dyDescent="0.2">
      <c r="A709" s="22">
        <v>45634</v>
      </c>
      <c r="B709">
        <v>79006</v>
      </c>
      <c r="C709">
        <v>28933</v>
      </c>
      <c r="D709">
        <v>49491</v>
      </c>
      <c r="E709">
        <v>165</v>
      </c>
    </row>
    <row r="710" spans="1:5" x14ac:dyDescent="0.2">
      <c r="A710" s="22">
        <v>45635</v>
      </c>
      <c r="B710">
        <v>84954</v>
      </c>
      <c r="C710">
        <v>38770</v>
      </c>
      <c r="D710">
        <v>55505</v>
      </c>
      <c r="E710">
        <v>88</v>
      </c>
    </row>
    <row r="711" spans="1:5" x14ac:dyDescent="0.2">
      <c r="A711" s="22">
        <v>45636</v>
      </c>
      <c r="B711">
        <v>88380</v>
      </c>
      <c r="C711">
        <v>41425</v>
      </c>
      <c r="D711">
        <v>51004</v>
      </c>
      <c r="E711">
        <v>161</v>
      </c>
    </row>
    <row r="712" spans="1:5" x14ac:dyDescent="0.2">
      <c r="A712" s="22">
        <v>45637</v>
      </c>
      <c r="B712">
        <v>82518</v>
      </c>
      <c r="C712">
        <v>38091</v>
      </c>
      <c r="D712">
        <v>46176</v>
      </c>
      <c r="E712">
        <v>138</v>
      </c>
    </row>
    <row r="713" spans="1:5" x14ac:dyDescent="0.2">
      <c r="A713" s="22">
        <v>45638</v>
      </c>
      <c r="B713">
        <v>84519</v>
      </c>
      <c r="C713">
        <v>42938</v>
      </c>
      <c r="D713">
        <v>63388</v>
      </c>
      <c r="E713">
        <v>118</v>
      </c>
    </row>
    <row r="714" spans="1:5" x14ac:dyDescent="0.2">
      <c r="A714" s="22">
        <v>45639</v>
      </c>
      <c r="B714">
        <v>79011</v>
      </c>
      <c r="C714">
        <v>42817</v>
      </c>
      <c r="D714">
        <v>53228</v>
      </c>
      <c r="E714">
        <v>143</v>
      </c>
    </row>
    <row r="715" spans="1:5" x14ac:dyDescent="0.2">
      <c r="A715" s="22">
        <v>45640</v>
      </c>
      <c r="B715">
        <v>77233</v>
      </c>
      <c r="C715">
        <v>32693</v>
      </c>
      <c r="D715">
        <v>56538</v>
      </c>
      <c r="E715">
        <v>69</v>
      </c>
    </row>
    <row r="716" spans="1:5" x14ac:dyDescent="0.2">
      <c r="A716" s="22">
        <v>45641</v>
      </c>
      <c r="B716">
        <v>83658</v>
      </c>
      <c r="C716">
        <v>41671</v>
      </c>
      <c r="D716">
        <v>42462</v>
      </c>
      <c r="E716">
        <v>112</v>
      </c>
    </row>
    <row r="717" spans="1:5" x14ac:dyDescent="0.2">
      <c r="A717" s="22">
        <v>45642</v>
      </c>
      <c r="B717">
        <v>83639</v>
      </c>
      <c r="C717">
        <v>42790</v>
      </c>
      <c r="D717">
        <v>57316</v>
      </c>
      <c r="E717">
        <v>62</v>
      </c>
    </row>
    <row r="718" spans="1:5" x14ac:dyDescent="0.2">
      <c r="A718" s="22">
        <v>45643</v>
      </c>
      <c r="B718">
        <v>79772</v>
      </c>
      <c r="C718">
        <v>30772</v>
      </c>
      <c r="D718">
        <v>40552</v>
      </c>
      <c r="E718">
        <v>89</v>
      </c>
    </row>
    <row r="719" spans="1:5" x14ac:dyDescent="0.2">
      <c r="A719" s="22">
        <v>45644</v>
      </c>
      <c r="B719">
        <v>84757</v>
      </c>
      <c r="C719">
        <v>33238</v>
      </c>
      <c r="D719">
        <v>67273</v>
      </c>
      <c r="E719">
        <v>115</v>
      </c>
    </row>
    <row r="720" spans="1:5" x14ac:dyDescent="0.2">
      <c r="A720" s="22">
        <v>45645</v>
      </c>
      <c r="B720">
        <v>89759</v>
      </c>
      <c r="C720">
        <v>40355</v>
      </c>
      <c r="D720">
        <v>60921</v>
      </c>
      <c r="E720">
        <v>168</v>
      </c>
    </row>
    <row r="721" spans="1:14" x14ac:dyDescent="0.2">
      <c r="A721" s="22">
        <v>45646</v>
      </c>
      <c r="B721">
        <v>80359</v>
      </c>
      <c r="C721">
        <v>40085</v>
      </c>
      <c r="D721">
        <v>46795</v>
      </c>
      <c r="E721">
        <v>81</v>
      </c>
    </row>
    <row r="722" spans="1:14" x14ac:dyDescent="0.2">
      <c r="A722" s="22">
        <v>45647</v>
      </c>
      <c r="B722">
        <v>76043</v>
      </c>
      <c r="C722">
        <v>27316</v>
      </c>
      <c r="D722">
        <v>49983</v>
      </c>
      <c r="E722">
        <v>67</v>
      </c>
    </row>
    <row r="723" spans="1:14" x14ac:dyDescent="0.2">
      <c r="A723" s="22">
        <v>45648</v>
      </c>
      <c r="B723">
        <v>80796</v>
      </c>
      <c r="C723">
        <v>31832</v>
      </c>
      <c r="D723">
        <v>44962</v>
      </c>
      <c r="E723">
        <v>137</v>
      </c>
    </row>
    <row r="724" spans="1:14" x14ac:dyDescent="0.2">
      <c r="A724" s="22">
        <v>45649</v>
      </c>
      <c r="B724">
        <v>89010</v>
      </c>
      <c r="C724">
        <v>32107</v>
      </c>
      <c r="D724">
        <v>59334</v>
      </c>
      <c r="E724">
        <v>127</v>
      </c>
    </row>
    <row r="725" spans="1:14" x14ac:dyDescent="0.2">
      <c r="A725" s="22">
        <v>45650</v>
      </c>
      <c r="B725">
        <v>75361</v>
      </c>
      <c r="C725">
        <v>29563</v>
      </c>
      <c r="D725">
        <v>57295</v>
      </c>
      <c r="E725">
        <v>99</v>
      </c>
    </row>
    <row r="726" spans="1:14" x14ac:dyDescent="0.2">
      <c r="A726" s="22">
        <v>45651</v>
      </c>
      <c r="B726">
        <v>81988</v>
      </c>
      <c r="C726">
        <v>36597</v>
      </c>
      <c r="D726">
        <v>62832</v>
      </c>
      <c r="E726">
        <v>126</v>
      </c>
    </row>
    <row r="727" spans="1:14" x14ac:dyDescent="0.2">
      <c r="A727" s="22">
        <v>45652</v>
      </c>
      <c r="B727">
        <v>77687</v>
      </c>
      <c r="C727">
        <v>40733</v>
      </c>
      <c r="D727">
        <v>57370</v>
      </c>
      <c r="E727">
        <v>79</v>
      </c>
    </row>
    <row r="728" spans="1:14" x14ac:dyDescent="0.2">
      <c r="A728" s="22">
        <v>45653</v>
      </c>
      <c r="B728">
        <v>84408</v>
      </c>
      <c r="C728">
        <v>41663</v>
      </c>
      <c r="D728">
        <v>47881</v>
      </c>
      <c r="E728">
        <v>178</v>
      </c>
    </row>
    <row r="729" spans="1:14" x14ac:dyDescent="0.2">
      <c r="A729" s="22">
        <v>45654</v>
      </c>
      <c r="B729">
        <v>79519</v>
      </c>
      <c r="C729">
        <v>39640</v>
      </c>
      <c r="D729">
        <v>55708</v>
      </c>
      <c r="E729">
        <v>86</v>
      </c>
    </row>
    <row r="730" spans="1:14" x14ac:dyDescent="0.2">
      <c r="A730" s="22">
        <v>45655</v>
      </c>
      <c r="B730">
        <v>82936</v>
      </c>
      <c r="C730">
        <v>41153</v>
      </c>
      <c r="D730">
        <v>50221</v>
      </c>
      <c r="E730">
        <v>93</v>
      </c>
    </row>
    <row r="731" spans="1:14" x14ac:dyDescent="0.2">
      <c r="A731" s="22">
        <v>45656</v>
      </c>
      <c r="B731">
        <v>80958</v>
      </c>
      <c r="C731">
        <v>28618</v>
      </c>
      <c r="D731">
        <v>47955</v>
      </c>
      <c r="E731">
        <v>152</v>
      </c>
    </row>
    <row r="732" spans="1:14" x14ac:dyDescent="0.2">
      <c r="A732" s="22">
        <v>45657</v>
      </c>
      <c r="B732">
        <v>84176</v>
      </c>
      <c r="C732">
        <v>36374</v>
      </c>
      <c r="D732">
        <v>44985</v>
      </c>
      <c r="E732">
        <v>60</v>
      </c>
    </row>
    <row r="733" spans="1:14" x14ac:dyDescent="0.2">
      <c r="A733" s="22">
        <v>45658</v>
      </c>
      <c r="B733">
        <v>68100</v>
      </c>
      <c r="C733">
        <v>24549</v>
      </c>
      <c r="D733">
        <v>38078</v>
      </c>
      <c r="E733">
        <v>126</v>
      </c>
      <c r="F733">
        <v>4495756</v>
      </c>
      <c r="G733">
        <v>48004</v>
      </c>
      <c r="H733">
        <v>767</v>
      </c>
      <c r="I733">
        <v>21099</v>
      </c>
      <c r="J733">
        <v>17490177</v>
      </c>
      <c r="K733">
        <v>2521854</v>
      </c>
      <c r="L733">
        <v>739888</v>
      </c>
      <c r="M733">
        <v>56796</v>
      </c>
      <c r="N733">
        <v>767</v>
      </c>
    </row>
    <row r="734" spans="1:14" x14ac:dyDescent="0.2">
      <c r="A734" s="22">
        <v>45659</v>
      </c>
      <c r="B734">
        <v>79255</v>
      </c>
      <c r="C734">
        <v>42583</v>
      </c>
      <c r="D734">
        <v>59203</v>
      </c>
      <c r="E734">
        <v>173</v>
      </c>
      <c r="F734">
        <v>4855354</v>
      </c>
      <c r="G734">
        <v>51296</v>
      </c>
      <c r="H734">
        <v>779</v>
      </c>
      <c r="I734">
        <v>20814</v>
      </c>
      <c r="J734">
        <v>16263735</v>
      </c>
      <c r="K734">
        <v>2877799</v>
      </c>
      <c r="L734">
        <v>1031143</v>
      </c>
      <c r="M734">
        <v>43825</v>
      </c>
      <c r="N734">
        <v>779</v>
      </c>
    </row>
    <row r="735" spans="1:14" x14ac:dyDescent="0.2">
      <c r="A735" s="22">
        <v>45660</v>
      </c>
      <c r="B735">
        <v>69354</v>
      </c>
      <c r="C735">
        <v>31250</v>
      </c>
      <c r="D735">
        <v>39692</v>
      </c>
      <c r="E735">
        <v>176</v>
      </c>
      <c r="F735">
        <v>7402423</v>
      </c>
      <c r="G735">
        <v>65689</v>
      </c>
      <c r="H735">
        <v>1079</v>
      </c>
      <c r="I735">
        <v>27579</v>
      </c>
      <c r="J735">
        <v>21239602</v>
      </c>
      <c r="K735">
        <v>2380354</v>
      </c>
      <c r="L735">
        <v>851177</v>
      </c>
      <c r="M735">
        <v>65539</v>
      </c>
      <c r="N735">
        <v>1079</v>
      </c>
    </row>
    <row r="736" spans="1:14" x14ac:dyDescent="0.2">
      <c r="A736" s="22">
        <v>45661</v>
      </c>
      <c r="B736">
        <v>74428</v>
      </c>
      <c r="C736">
        <v>29783</v>
      </c>
      <c r="D736">
        <v>56165</v>
      </c>
      <c r="E736">
        <v>94</v>
      </c>
      <c r="F736">
        <v>5329253</v>
      </c>
      <c r="G736">
        <v>47980</v>
      </c>
      <c r="H736">
        <v>1088</v>
      </c>
      <c r="I736">
        <v>24947</v>
      </c>
      <c r="J736">
        <v>17232274</v>
      </c>
      <c r="K736">
        <v>2124143</v>
      </c>
      <c r="L736">
        <v>751697</v>
      </c>
      <c r="M736">
        <v>55129</v>
      </c>
      <c r="N736">
        <v>1088</v>
      </c>
    </row>
    <row r="737" spans="1:14" x14ac:dyDescent="0.2">
      <c r="A737" s="22">
        <v>45662</v>
      </c>
      <c r="B737">
        <v>65813</v>
      </c>
      <c r="C737">
        <v>34857</v>
      </c>
      <c r="D737">
        <v>40585</v>
      </c>
      <c r="E737">
        <v>145</v>
      </c>
      <c r="F737">
        <v>3105428</v>
      </c>
      <c r="G737">
        <v>25112</v>
      </c>
      <c r="H737">
        <v>863</v>
      </c>
      <c r="I737">
        <v>14887</v>
      </c>
      <c r="J737">
        <v>12846074</v>
      </c>
      <c r="K737">
        <v>1977752</v>
      </c>
      <c r="L737">
        <v>681177</v>
      </c>
      <c r="M737">
        <v>38740</v>
      </c>
      <c r="N737">
        <v>863</v>
      </c>
    </row>
    <row r="738" spans="1:14" x14ac:dyDescent="0.2">
      <c r="A738" s="22">
        <v>45663</v>
      </c>
      <c r="B738">
        <v>75975</v>
      </c>
      <c r="C738">
        <v>26801</v>
      </c>
      <c r="D738">
        <v>53019</v>
      </c>
      <c r="E738">
        <v>112</v>
      </c>
      <c r="F738">
        <v>5094243</v>
      </c>
      <c r="G738">
        <v>50585</v>
      </c>
      <c r="H738">
        <v>925</v>
      </c>
      <c r="I738">
        <v>26766</v>
      </c>
      <c r="J738">
        <v>15268264</v>
      </c>
      <c r="K738">
        <v>2007042</v>
      </c>
      <c r="L738">
        <v>626582</v>
      </c>
      <c r="M738">
        <v>40884</v>
      </c>
      <c r="N738">
        <v>925</v>
      </c>
    </row>
    <row r="739" spans="1:14" x14ac:dyDescent="0.2">
      <c r="A739" s="22">
        <v>45664</v>
      </c>
      <c r="B739">
        <v>65395</v>
      </c>
      <c r="C739">
        <v>29457</v>
      </c>
      <c r="D739">
        <v>37873</v>
      </c>
      <c r="E739">
        <v>146</v>
      </c>
      <c r="F739">
        <v>6688704</v>
      </c>
      <c r="G739">
        <v>69819</v>
      </c>
      <c r="H739">
        <v>1039</v>
      </c>
      <c r="I739">
        <v>30170</v>
      </c>
      <c r="J739">
        <v>12171151</v>
      </c>
      <c r="K739">
        <v>1961131</v>
      </c>
      <c r="L739">
        <v>472415</v>
      </c>
      <c r="M739">
        <v>46472</v>
      </c>
      <c r="N739">
        <v>1039</v>
      </c>
    </row>
    <row r="740" spans="1:14" x14ac:dyDescent="0.2">
      <c r="A740" s="22">
        <v>45665</v>
      </c>
      <c r="B740">
        <v>74577</v>
      </c>
      <c r="C740">
        <v>34245</v>
      </c>
      <c r="D740">
        <v>42804</v>
      </c>
      <c r="E740">
        <v>176</v>
      </c>
      <c r="F740">
        <v>5513266</v>
      </c>
      <c r="G740">
        <v>68619</v>
      </c>
      <c r="H740">
        <v>900</v>
      </c>
      <c r="I740">
        <v>27000</v>
      </c>
      <c r="J740">
        <v>12000580</v>
      </c>
      <c r="K740">
        <v>2471584</v>
      </c>
      <c r="L740">
        <v>622843</v>
      </c>
      <c r="M740">
        <v>55253</v>
      </c>
      <c r="N740">
        <v>900</v>
      </c>
    </row>
    <row r="741" spans="1:14" x14ac:dyDescent="0.2">
      <c r="A741" s="22">
        <v>45666</v>
      </c>
      <c r="B741">
        <v>69317</v>
      </c>
      <c r="C741">
        <v>29164</v>
      </c>
      <c r="D741">
        <v>40388</v>
      </c>
      <c r="E741">
        <v>128</v>
      </c>
      <c r="F741">
        <v>8311247</v>
      </c>
      <c r="G741">
        <v>106956</v>
      </c>
      <c r="H741">
        <v>1303</v>
      </c>
      <c r="I741">
        <v>31196</v>
      </c>
      <c r="J741">
        <v>20204776</v>
      </c>
      <c r="K741">
        <v>2714363</v>
      </c>
      <c r="L741">
        <v>828900</v>
      </c>
      <c r="M741">
        <v>47094</v>
      </c>
      <c r="N741">
        <v>1303</v>
      </c>
    </row>
    <row r="742" spans="1:14" x14ac:dyDescent="0.2">
      <c r="A742" s="22">
        <v>45667</v>
      </c>
      <c r="B742">
        <v>69905</v>
      </c>
      <c r="C742">
        <v>35691</v>
      </c>
      <c r="D742">
        <v>50087</v>
      </c>
      <c r="E742">
        <v>131</v>
      </c>
      <c r="F742">
        <v>7483221</v>
      </c>
      <c r="G742">
        <v>108843</v>
      </c>
      <c r="H742">
        <v>1586</v>
      </c>
      <c r="I742">
        <v>28347</v>
      </c>
      <c r="J742">
        <v>16747753</v>
      </c>
      <c r="K742">
        <v>2181369</v>
      </c>
      <c r="L742">
        <v>504613</v>
      </c>
      <c r="M742">
        <v>42618</v>
      </c>
      <c r="N742">
        <v>1586</v>
      </c>
    </row>
    <row r="743" spans="1:14" x14ac:dyDescent="0.2">
      <c r="A743" s="22">
        <v>45668</v>
      </c>
      <c r="B743">
        <v>69174</v>
      </c>
      <c r="C743">
        <v>33921</v>
      </c>
      <c r="D743">
        <v>44288</v>
      </c>
      <c r="E743">
        <v>137</v>
      </c>
      <c r="F743">
        <v>5589861</v>
      </c>
      <c r="G743">
        <v>65617</v>
      </c>
      <c r="H743">
        <v>1575</v>
      </c>
      <c r="I743">
        <v>22116</v>
      </c>
      <c r="J743">
        <v>17556374</v>
      </c>
      <c r="K743">
        <v>2267465</v>
      </c>
      <c r="L743">
        <v>697534</v>
      </c>
      <c r="M743">
        <v>49624</v>
      </c>
      <c r="N743">
        <v>1575</v>
      </c>
    </row>
    <row r="744" spans="1:14" x14ac:dyDescent="0.2">
      <c r="A744" s="22">
        <v>45669</v>
      </c>
      <c r="B744">
        <v>74114</v>
      </c>
      <c r="C744">
        <v>40394</v>
      </c>
      <c r="D744">
        <v>37784</v>
      </c>
      <c r="E744">
        <v>92</v>
      </c>
      <c r="F744">
        <v>3129586</v>
      </c>
      <c r="G744">
        <v>29762</v>
      </c>
      <c r="H744">
        <v>966</v>
      </c>
      <c r="I744">
        <v>11225</v>
      </c>
      <c r="J744">
        <v>14824349</v>
      </c>
      <c r="K744">
        <v>1910669</v>
      </c>
      <c r="L744">
        <v>426018</v>
      </c>
      <c r="M744">
        <v>32651</v>
      </c>
      <c r="N744">
        <v>966</v>
      </c>
    </row>
    <row r="745" spans="1:14" x14ac:dyDescent="0.2">
      <c r="A745" s="22">
        <v>45670</v>
      </c>
      <c r="B745">
        <v>73754</v>
      </c>
      <c r="C745">
        <v>33784</v>
      </c>
      <c r="D745">
        <v>44561</v>
      </c>
      <c r="E745">
        <v>76</v>
      </c>
      <c r="F745">
        <v>5412385</v>
      </c>
      <c r="G745">
        <v>66734</v>
      </c>
      <c r="H745">
        <v>1155</v>
      </c>
      <c r="I745">
        <v>42635</v>
      </c>
      <c r="J745">
        <v>14547173</v>
      </c>
      <c r="K745">
        <v>1993023</v>
      </c>
      <c r="L745">
        <v>531432</v>
      </c>
      <c r="M745">
        <v>44565</v>
      </c>
      <c r="N745">
        <v>1155</v>
      </c>
    </row>
    <row r="746" spans="1:14" x14ac:dyDescent="0.2">
      <c r="A746" s="22">
        <v>45671</v>
      </c>
      <c r="B746">
        <v>65872</v>
      </c>
      <c r="C746">
        <v>32793</v>
      </c>
      <c r="D746">
        <v>49400</v>
      </c>
      <c r="E746">
        <v>78</v>
      </c>
      <c r="F746">
        <v>5536950</v>
      </c>
      <c r="G746">
        <v>66904</v>
      </c>
      <c r="H746">
        <v>867</v>
      </c>
      <c r="I746">
        <v>28335</v>
      </c>
      <c r="J746">
        <v>14210447</v>
      </c>
      <c r="K746">
        <v>2015825</v>
      </c>
      <c r="L746">
        <v>754066</v>
      </c>
      <c r="M746">
        <v>47462</v>
      </c>
      <c r="N746">
        <v>867</v>
      </c>
    </row>
    <row r="747" spans="1:14" x14ac:dyDescent="0.2">
      <c r="A747" s="22">
        <v>45672</v>
      </c>
      <c r="B747">
        <v>71592</v>
      </c>
      <c r="C747">
        <v>32823</v>
      </c>
      <c r="D747">
        <v>51881</v>
      </c>
      <c r="E747">
        <v>151</v>
      </c>
      <c r="F747">
        <v>6417213</v>
      </c>
      <c r="G747">
        <v>77528</v>
      </c>
      <c r="H747">
        <v>948</v>
      </c>
      <c r="I747">
        <v>29337</v>
      </c>
      <c r="J747">
        <v>10744787</v>
      </c>
      <c r="K747">
        <v>2089220</v>
      </c>
      <c r="L747">
        <v>670862</v>
      </c>
      <c r="M747">
        <v>48363</v>
      </c>
      <c r="N747">
        <v>948</v>
      </c>
    </row>
    <row r="748" spans="1:14" x14ac:dyDescent="0.2">
      <c r="A748" s="22">
        <v>45673</v>
      </c>
      <c r="B748">
        <v>66888</v>
      </c>
      <c r="C748">
        <v>29619</v>
      </c>
      <c r="D748">
        <v>38947</v>
      </c>
      <c r="E748">
        <v>138</v>
      </c>
      <c r="F748">
        <v>4784977</v>
      </c>
      <c r="G748">
        <v>51335</v>
      </c>
      <c r="H748">
        <v>937</v>
      </c>
      <c r="I748">
        <v>24798</v>
      </c>
      <c r="J748">
        <v>9146257</v>
      </c>
      <c r="K748">
        <v>2134644</v>
      </c>
      <c r="L748">
        <v>656787</v>
      </c>
      <c r="M748">
        <v>44713</v>
      </c>
      <c r="N748">
        <v>937</v>
      </c>
    </row>
    <row r="749" spans="1:14" x14ac:dyDescent="0.2">
      <c r="A749" s="22">
        <v>45674</v>
      </c>
      <c r="B749">
        <v>72096</v>
      </c>
      <c r="C749">
        <v>30120</v>
      </c>
      <c r="D749">
        <v>45398</v>
      </c>
      <c r="E749">
        <v>141</v>
      </c>
      <c r="F749">
        <v>6815396</v>
      </c>
      <c r="G749">
        <v>79697</v>
      </c>
      <c r="H749">
        <v>2055</v>
      </c>
      <c r="I749">
        <v>32020</v>
      </c>
      <c r="J749">
        <v>12095541</v>
      </c>
      <c r="K749">
        <v>1926820</v>
      </c>
      <c r="L749">
        <v>512835</v>
      </c>
      <c r="M749">
        <v>44276</v>
      </c>
      <c r="N749">
        <v>2055</v>
      </c>
    </row>
    <row r="750" spans="1:14" x14ac:dyDescent="0.2">
      <c r="A750" s="22">
        <v>45675</v>
      </c>
      <c r="B750">
        <v>78656</v>
      </c>
      <c r="C750">
        <v>32591</v>
      </c>
      <c r="D750">
        <v>59044</v>
      </c>
      <c r="E750">
        <v>79</v>
      </c>
      <c r="F750">
        <v>5423264</v>
      </c>
      <c r="G750">
        <v>61251</v>
      </c>
      <c r="H750">
        <v>1558</v>
      </c>
      <c r="I750">
        <v>27794</v>
      </c>
      <c r="J750">
        <v>13916533</v>
      </c>
      <c r="K750">
        <v>1672496</v>
      </c>
      <c r="L750">
        <v>493941</v>
      </c>
      <c r="M750">
        <v>41950</v>
      </c>
      <c r="N750">
        <v>1558</v>
      </c>
    </row>
    <row r="751" spans="1:14" x14ac:dyDescent="0.2">
      <c r="A751" s="22">
        <v>45676</v>
      </c>
      <c r="B751">
        <v>69172</v>
      </c>
      <c r="C751">
        <v>27695</v>
      </c>
      <c r="D751">
        <v>49569</v>
      </c>
      <c r="E751">
        <v>128</v>
      </c>
      <c r="F751">
        <v>2810319</v>
      </c>
      <c r="G751">
        <v>30059</v>
      </c>
      <c r="H751">
        <v>1058</v>
      </c>
      <c r="I751">
        <v>12477</v>
      </c>
      <c r="J751">
        <v>12908947</v>
      </c>
      <c r="K751">
        <v>1824092</v>
      </c>
      <c r="L751">
        <v>557439</v>
      </c>
      <c r="M751">
        <v>41967</v>
      </c>
      <c r="N751">
        <v>1058</v>
      </c>
    </row>
    <row r="752" spans="1:14" x14ac:dyDescent="0.2">
      <c r="A752" s="22">
        <v>45677</v>
      </c>
      <c r="B752">
        <v>67616</v>
      </c>
      <c r="C752">
        <v>29089</v>
      </c>
      <c r="D752">
        <v>36633</v>
      </c>
      <c r="E752">
        <v>130</v>
      </c>
      <c r="F752">
        <v>6716171</v>
      </c>
      <c r="G752">
        <v>75793</v>
      </c>
      <c r="H752">
        <v>985</v>
      </c>
      <c r="I752">
        <v>32958</v>
      </c>
      <c r="J752">
        <v>16695102</v>
      </c>
      <c r="K752">
        <v>2156499</v>
      </c>
      <c r="L752">
        <v>722453</v>
      </c>
      <c r="M752">
        <v>61330</v>
      </c>
      <c r="N752">
        <v>985</v>
      </c>
    </row>
    <row r="753" spans="1:14" x14ac:dyDescent="0.2">
      <c r="A753" s="22">
        <v>45678</v>
      </c>
      <c r="B753">
        <v>78141</v>
      </c>
      <c r="C753">
        <v>37348</v>
      </c>
      <c r="D753">
        <v>40598</v>
      </c>
      <c r="E753">
        <v>62</v>
      </c>
      <c r="F753">
        <v>6602313</v>
      </c>
      <c r="G753">
        <v>75948</v>
      </c>
      <c r="H753">
        <v>1046</v>
      </c>
      <c r="I753">
        <v>29078</v>
      </c>
      <c r="J753">
        <v>11405968</v>
      </c>
      <c r="K753">
        <v>1896449</v>
      </c>
      <c r="L753">
        <v>716905</v>
      </c>
      <c r="M753">
        <v>38994</v>
      </c>
      <c r="N753">
        <v>1046</v>
      </c>
    </row>
    <row r="754" spans="1:14" x14ac:dyDescent="0.2">
      <c r="A754" s="22">
        <v>45679</v>
      </c>
      <c r="B754">
        <v>67493</v>
      </c>
      <c r="C754">
        <v>30011</v>
      </c>
      <c r="D754">
        <v>37856</v>
      </c>
      <c r="E754">
        <v>111</v>
      </c>
      <c r="F754">
        <v>7310327</v>
      </c>
      <c r="G754">
        <v>106866</v>
      </c>
      <c r="H754">
        <v>1358</v>
      </c>
      <c r="I754">
        <v>28894</v>
      </c>
      <c r="J754">
        <v>15942419</v>
      </c>
      <c r="K754">
        <v>2097310</v>
      </c>
      <c r="L754">
        <v>734276</v>
      </c>
      <c r="M754">
        <v>40432</v>
      </c>
      <c r="N754">
        <v>1358</v>
      </c>
    </row>
    <row r="755" spans="1:14" x14ac:dyDescent="0.2">
      <c r="A755" s="22">
        <v>45680</v>
      </c>
      <c r="B755">
        <v>78075</v>
      </c>
      <c r="C755">
        <v>32209</v>
      </c>
      <c r="D755">
        <v>48806</v>
      </c>
      <c r="E755">
        <v>93</v>
      </c>
      <c r="F755">
        <v>11533421</v>
      </c>
      <c r="G755">
        <v>173276</v>
      </c>
      <c r="H755">
        <v>3578</v>
      </c>
      <c r="I755">
        <v>39871</v>
      </c>
      <c r="J755">
        <v>17647933</v>
      </c>
      <c r="K755">
        <v>2203713</v>
      </c>
      <c r="L755">
        <v>620616</v>
      </c>
      <c r="M755">
        <v>47460</v>
      </c>
      <c r="N755">
        <v>3578</v>
      </c>
    </row>
    <row r="756" spans="1:14" x14ac:dyDescent="0.2">
      <c r="A756" s="22">
        <v>45681</v>
      </c>
      <c r="B756">
        <v>68094</v>
      </c>
      <c r="C756">
        <v>29790</v>
      </c>
      <c r="D756">
        <v>44211</v>
      </c>
      <c r="E756">
        <v>89</v>
      </c>
      <c r="F756">
        <v>9810157</v>
      </c>
      <c r="G756">
        <v>116657</v>
      </c>
      <c r="H756">
        <v>2411</v>
      </c>
      <c r="I756">
        <v>34410</v>
      </c>
      <c r="J756">
        <v>17693269</v>
      </c>
      <c r="K756">
        <v>2108527</v>
      </c>
      <c r="L756">
        <v>647698</v>
      </c>
      <c r="M756">
        <v>40930</v>
      </c>
      <c r="N756">
        <v>2411</v>
      </c>
    </row>
    <row r="757" spans="1:14" x14ac:dyDescent="0.2">
      <c r="A757" s="22">
        <v>45682</v>
      </c>
      <c r="B757">
        <v>69082</v>
      </c>
      <c r="C757">
        <v>31720</v>
      </c>
      <c r="D757">
        <v>39583</v>
      </c>
      <c r="E757">
        <v>71</v>
      </c>
      <c r="F757">
        <v>6392364</v>
      </c>
      <c r="G757">
        <v>76352</v>
      </c>
      <c r="H757">
        <v>1784</v>
      </c>
      <c r="I757">
        <v>23875</v>
      </c>
      <c r="J757">
        <v>19609068</v>
      </c>
      <c r="K757">
        <v>2668945</v>
      </c>
      <c r="L757">
        <v>863181</v>
      </c>
      <c r="M757">
        <v>34262</v>
      </c>
      <c r="N757">
        <v>1784</v>
      </c>
    </row>
    <row r="758" spans="1:14" x14ac:dyDescent="0.2">
      <c r="A758" s="22">
        <v>45683</v>
      </c>
      <c r="B758">
        <v>78944</v>
      </c>
      <c r="C758">
        <v>32374</v>
      </c>
      <c r="D758">
        <v>51866</v>
      </c>
      <c r="E758">
        <v>68</v>
      </c>
      <c r="F758">
        <v>7002771</v>
      </c>
      <c r="G758">
        <v>82748</v>
      </c>
      <c r="H758">
        <v>1867</v>
      </c>
      <c r="I758">
        <v>43846</v>
      </c>
      <c r="J758">
        <v>19623111</v>
      </c>
      <c r="K758">
        <v>2797617</v>
      </c>
      <c r="L758">
        <v>899277</v>
      </c>
      <c r="M758">
        <v>46703</v>
      </c>
      <c r="N758">
        <v>1867</v>
      </c>
    </row>
    <row r="759" spans="1:14" x14ac:dyDescent="0.2">
      <c r="A759" s="22">
        <v>45684</v>
      </c>
      <c r="B759">
        <v>69349</v>
      </c>
      <c r="C759">
        <v>25284</v>
      </c>
      <c r="D759">
        <v>54418</v>
      </c>
      <c r="E759">
        <v>138</v>
      </c>
      <c r="F759">
        <v>14239751</v>
      </c>
      <c r="G759">
        <v>141667</v>
      </c>
      <c r="H759">
        <v>3168</v>
      </c>
      <c r="I759">
        <v>61614</v>
      </c>
      <c r="J759">
        <v>20537610</v>
      </c>
      <c r="K759">
        <v>2736279</v>
      </c>
      <c r="L759">
        <v>989814</v>
      </c>
      <c r="M759">
        <v>62146</v>
      </c>
      <c r="N759">
        <v>3168</v>
      </c>
    </row>
    <row r="760" spans="1:14" x14ac:dyDescent="0.2">
      <c r="A760" s="22">
        <v>45685</v>
      </c>
      <c r="B760">
        <v>72752</v>
      </c>
      <c r="C760">
        <v>35433</v>
      </c>
      <c r="D760">
        <v>55269</v>
      </c>
      <c r="E760">
        <v>158</v>
      </c>
      <c r="F760">
        <v>10752450</v>
      </c>
      <c r="G760">
        <v>136854</v>
      </c>
      <c r="H760">
        <v>2279</v>
      </c>
      <c r="I760">
        <v>43297</v>
      </c>
      <c r="J760">
        <v>17583382</v>
      </c>
      <c r="K760">
        <v>2034614</v>
      </c>
      <c r="L760">
        <v>662261</v>
      </c>
      <c r="M760">
        <v>40285</v>
      </c>
      <c r="N760">
        <v>2279</v>
      </c>
    </row>
    <row r="761" spans="1:14" x14ac:dyDescent="0.2">
      <c r="A761" s="22">
        <v>45686</v>
      </c>
      <c r="B761">
        <v>74371</v>
      </c>
      <c r="C761">
        <v>38125</v>
      </c>
      <c r="D761">
        <v>47713</v>
      </c>
      <c r="E761">
        <v>91</v>
      </c>
      <c r="F761">
        <v>10586665</v>
      </c>
      <c r="G761">
        <v>175336</v>
      </c>
      <c r="H761">
        <v>2823</v>
      </c>
      <c r="I761">
        <v>44359</v>
      </c>
      <c r="J761">
        <v>15545026</v>
      </c>
      <c r="K761">
        <v>1985998</v>
      </c>
      <c r="L761">
        <v>746788</v>
      </c>
      <c r="M761">
        <v>38814</v>
      </c>
      <c r="N761">
        <v>2823</v>
      </c>
    </row>
    <row r="762" spans="1:14" x14ac:dyDescent="0.2">
      <c r="A762" s="22">
        <v>45687</v>
      </c>
      <c r="B762">
        <v>73645</v>
      </c>
      <c r="C762">
        <v>34367</v>
      </c>
      <c r="D762">
        <v>37230</v>
      </c>
      <c r="E762">
        <v>93</v>
      </c>
      <c r="F762">
        <v>12709824</v>
      </c>
      <c r="G762">
        <v>163662</v>
      </c>
      <c r="H762">
        <v>2765</v>
      </c>
      <c r="I762">
        <v>45563</v>
      </c>
      <c r="J762">
        <v>16395604</v>
      </c>
      <c r="K762">
        <v>2319251</v>
      </c>
      <c r="L762">
        <v>755780</v>
      </c>
      <c r="M762">
        <v>37913</v>
      </c>
      <c r="N762">
        <v>2765</v>
      </c>
    </row>
    <row r="763" spans="1:14" x14ac:dyDescent="0.2">
      <c r="A763" s="22">
        <v>45688</v>
      </c>
      <c r="B763">
        <v>78887</v>
      </c>
      <c r="C763">
        <v>38447</v>
      </c>
      <c r="D763">
        <v>41224</v>
      </c>
      <c r="E763">
        <v>152</v>
      </c>
      <c r="F763">
        <v>9865419</v>
      </c>
      <c r="G763">
        <v>108506</v>
      </c>
      <c r="H763">
        <v>1923</v>
      </c>
      <c r="I763">
        <v>37445</v>
      </c>
      <c r="J763">
        <v>21447617</v>
      </c>
      <c r="K763">
        <v>2641956</v>
      </c>
      <c r="L763">
        <v>706192</v>
      </c>
      <c r="M763">
        <v>45328</v>
      </c>
      <c r="N763">
        <v>1923</v>
      </c>
    </row>
    <row r="764" spans="1:14" x14ac:dyDescent="0.2">
      <c r="A764" s="22">
        <v>45689</v>
      </c>
      <c r="B764">
        <v>67981</v>
      </c>
      <c r="C764">
        <v>30314</v>
      </c>
      <c r="D764">
        <v>53036</v>
      </c>
      <c r="E764">
        <v>107</v>
      </c>
      <c r="F764">
        <v>9052198</v>
      </c>
      <c r="G764">
        <v>123043</v>
      </c>
      <c r="H764">
        <v>2431</v>
      </c>
      <c r="I764">
        <v>36582</v>
      </c>
      <c r="J764">
        <v>16157088</v>
      </c>
      <c r="K764">
        <v>2544517</v>
      </c>
      <c r="L764">
        <v>831952</v>
      </c>
      <c r="M764">
        <v>35076</v>
      </c>
      <c r="N764">
        <v>2431</v>
      </c>
    </row>
    <row r="765" spans="1:14" x14ac:dyDescent="0.2">
      <c r="A765" s="22">
        <v>45690</v>
      </c>
      <c r="B765">
        <v>75048</v>
      </c>
      <c r="C765">
        <v>34834</v>
      </c>
      <c r="D765">
        <v>43514</v>
      </c>
      <c r="E765">
        <v>78</v>
      </c>
      <c r="F765">
        <v>5391143</v>
      </c>
      <c r="G765">
        <v>98866</v>
      </c>
      <c r="H765">
        <v>1865</v>
      </c>
      <c r="I765">
        <v>32487</v>
      </c>
      <c r="J765">
        <v>19365686</v>
      </c>
      <c r="K765">
        <v>2591833</v>
      </c>
      <c r="L765">
        <v>688191</v>
      </c>
      <c r="M765">
        <v>41329</v>
      </c>
      <c r="N765">
        <v>1865</v>
      </c>
    </row>
    <row r="766" spans="1:14" x14ac:dyDescent="0.2">
      <c r="A766" s="22">
        <v>45691</v>
      </c>
      <c r="B766">
        <v>72952</v>
      </c>
      <c r="C766">
        <v>30084</v>
      </c>
      <c r="D766">
        <v>40234</v>
      </c>
      <c r="E766">
        <v>107</v>
      </c>
      <c r="F766">
        <v>7761133</v>
      </c>
      <c r="G766">
        <v>100116</v>
      </c>
      <c r="H766">
        <v>1670</v>
      </c>
      <c r="I766">
        <v>37635</v>
      </c>
      <c r="J766">
        <v>14393718</v>
      </c>
      <c r="K766">
        <v>2339007</v>
      </c>
      <c r="L766">
        <v>681487</v>
      </c>
      <c r="M766">
        <v>49091</v>
      </c>
      <c r="N766">
        <v>1670</v>
      </c>
    </row>
    <row r="767" spans="1:14" x14ac:dyDescent="0.2">
      <c r="A767" s="22">
        <v>45692</v>
      </c>
      <c r="B767">
        <v>76090</v>
      </c>
      <c r="C767">
        <v>37464</v>
      </c>
      <c r="D767">
        <v>50339</v>
      </c>
      <c r="E767">
        <v>147</v>
      </c>
      <c r="F767">
        <v>6665942</v>
      </c>
      <c r="G767">
        <v>80742</v>
      </c>
      <c r="H767">
        <v>1328</v>
      </c>
      <c r="I767">
        <v>28294</v>
      </c>
      <c r="J767">
        <v>24460544</v>
      </c>
      <c r="K767">
        <v>2420542</v>
      </c>
      <c r="L767">
        <v>674939</v>
      </c>
      <c r="M767">
        <v>46721</v>
      </c>
      <c r="N767">
        <v>1328</v>
      </c>
    </row>
    <row r="768" spans="1:14" x14ac:dyDescent="0.2">
      <c r="A768" s="22">
        <v>45693</v>
      </c>
      <c r="B768">
        <v>67996</v>
      </c>
      <c r="C768">
        <v>28170</v>
      </c>
      <c r="D768">
        <v>50752</v>
      </c>
      <c r="E768">
        <v>71</v>
      </c>
      <c r="F768">
        <v>9269867</v>
      </c>
      <c r="G768">
        <v>118872</v>
      </c>
      <c r="H768">
        <v>1787</v>
      </c>
      <c r="I768">
        <v>33108</v>
      </c>
      <c r="J768">
        <v>10895661</v>
      </c>
      <c r="K768">
        <v>2168047</v>
      </c>
      <c r="L768">
        <v>534261</v>
      </c>
      <c r="M768">
        <v>36639</v>
      </c>
      <c r="N768">
        <v>1787</v>
      </c>
    </row>
    <row r="769" spans="1:14" x14ac:dyDescent="0.2">
      <c r="A769" s="22">
        <v>45694</v>
      </c>
      <c r="B769">
        <v>74624</v>
      </c>
      <c r="C769">
        <v>31430</v>
      </c>
      <c r="D769">
        <v>52907</v>
      </c>
      <c r="E769">
        <v>102</v>
      </c>
      <c r="F769">
        <v>11285236</v>
      </c>
      <c r="G769">
        <v>135932</v>
      </c>
      <c r="H769">
        <v>1961</v>
      </c>
      <c r="I769">
        <v>40259</v>
      </c>
      <c r="J769">
        <v>16421644</v>
      </c>
      <c r="K769">
        <v>2183505</v>
      </c>
      <c r="L769">
        <v>778272</v>
      </c>
      <c r="M769">
        <v>44389</v>
      </c>
      <c r="N769">
        <v>1961</v>
      </c>
    </row>
    <row r="770" spans="1:14" x14ac:dyDescent="0.2">
      <c r="A770" s="22">
        <v>45695</v>
      </c>
      <c r="B770">
        <v>77960</v>
      </c>
      <c r="C770">
        <v>29992</v>
      </c>
      <c r="D770">
        <v>54261</v>
      </c>
      <c r="E770">
        <v>133</v>
      </c>
      <c r="F770">
        <v>9757436</v>
      </c>
      <c r="G770">
        <v>120252</v>
      </c>
      <c r="H770">
        <v>2044</v>
      </c>
      <c r="I770">
        <v>36453</v>
      </c>
      <c r="J770">
        <v>18805523</v>
      </c>
      <c r="K770">
        <v>2077216</v>
      </c>
      <c r="L770">
        <v>527799</v>
      </c>
      <c r="M770">
        <v>47005</v>
      </c>
      <c r="N770">
        <v>2044</v>
      </c>
    </row>
    <row r="771" spans="1:14" x14ac:dyDescent="0.2">
      <c r="A771" s="22">
        <v>45696</v>
      </c>
      <c r="B771">
        <v>73460</v>
      </c>
      <c r="C771">
        <v>38294</v>
      </c>
      <c r="D771">
        <v>41252</v>
      </c>
      <c r="E771">
        <v>70</v>
      </c>
      <c r="F771">
        <v>4961304</v>
      </c>
      <c r="G771">
        <v>64149</v>
      </c>
      <c r="H771">
        <v>1337</v>
      </c>
      <c r="I771">
        <v>25011</v>
      </c>
      <c r="J771">
        <v>12291464</v>
      </c>
      <c r="K771">
        <v>1860739</v>
      </c>
      <c r="L771">
        <v>562569</v>
      </c>
      <c r="M771">
        <v>35738</v>
      </c>
      <c r="N771">
        <v>1337</v>
      </c>
    </row>
    <row r="772" spans="1:14" x14ac:dyDescent="0.2">
      <c r="A772" s="22">
        <v>45697</v>
      </c>
      <c r="B772">
        <v>75645</v>
      </c>
      <c r="C772">
        <v>32442</v>
      </c>
      <c r="D772">
        <v>53962</v>
      </c>
      <c r="E772">
        <v>130</v>
      </c>
      <c r="F772">
        <v>3667066</v>
      </c>
      <c r="G772">
        <v>43273</v>
      </c>
      <c r="H772">
        <v>843</v>
      </c>
      <c r="I772">
        <v>17897</v>
      </c>
      <c r="J772">
        <v>13561294</v>
      </c>
      <c r="K772">
        <v>1838264</v>
      </c>
      <c r="L772">
        <v>638658</v>
      </c>
      <c r="M772">
        <v>38247</v>
      </c>
      <c r="N772">
        <v>843</v>
      </c>
    </row>
    <row r="773" spans="1:14" x14ac:dyDescent="0.2">
      <c r="A773" s="22">
        <v>45698</v>
      </c>
      <c r="B773">
        <v>70292</v>
      </c>
      <c r="C773">
        <v>32247</v>
      </c>
      <c r="D773">
        <v>42821</v>
      </c>
      <c r="E773">
        <v>140</v>
      </c>
      <c r="F773">
        <v>8579352</v>
      </c>
      <c r="G773">
        <v>118672</v>
      </c>
      <c r="H773">
        <v>1311</v>
      </c>
      <c r="I773">
        <v>32570</v>
      </c>
      <c r="J773">
        <v>13865732</v>
      </c>
      <c r="K773">
        <v>2065308</v>
      </c>
      <c r="L773">
        <v>781280</v>
      </c>
      <c r="M773">
        <v>58330</v>
      </c>
      <c r="N773">
        <v>1311</v>
      </c>
    </row>
    <row r="774" spans="1:14" x14ac:dyDescent="0.2">
      <c r="A774" s="22">
        <v>45699</v>
      </c>
      <c r="B774">
        <v>65729</v>
      </c>
      <c r="C774">
        <v>34320</v>
      </c>
      <c r="D774">
        <v>42573</v>
      </c>
      <c r="E774">
        <v>131</v>
      </c>
      <c r="F774">
        <v>9104406</v>
      </c>
      <c r="G774">
        <v>123797</v>
      </c>
      <c r="H774">
        <v>1503</v>
      </c>
      <c r="I774">
        <v>40306</v>
      </c>
      <c r="J774">
        <v>14624059</v>
      </c>
      <c r="K774">
        <v>2320310</v>
      </c>
      <c r="L774">
        <v>911674</v>
      </c>
      <c r="M774">
        <v>79426</v>
      </c>
      <c r="N774">
        <v>1503</v>
      </c>
    </row>
    <row r="775" spans="1:14" x14ac:dyDescent="0.2">
      <c r="A775" s="22">
        <v>45700</v>
      </c>
      <c r="B775">
        <v>77395</v>
      </c>
      <c r="C775">
        <v>31522</v>
      </c>
      <c r="D775">
        <v>40413</v>
      </c>
      <c r="E775">
        <v>154</v>
      </c>
      <c r="F775">
        <v>9601499</v>
      </c>
      <c r="G775">
        <v>127385</v>
      </c>
      <c r="H775">
        <v>1668</v>
      </c>
      <c r="I775">
        <v>43814</v>
      </c>
      <c r="J775">
        <v>16518648</v>
      </c>
      <c r="K775">
        <v>2104739</v>
      </c>
      <c r="L775">
        <v>450204</v>
      </c>
      <c r="M775">
        <v>71534</v>
      </c>
      <c r="N775">
        <v>1668</v>
      </c>
    </row>
    <row r="776" spans="1:14" x14ac:dyDescent="0.2">
      <c r="A776" s="22">
        <v>45701</v>
      </c>
      <c r="B776">
        <v>68589</v>
      </c>
      <c r="C776">
        <v>31154</v>
      </c>
      <c r="D776">
        <v>52098</v>
      </c>
      <c r="E776">
        <v>101</v>
      </c>
      <c r="F776">
        <v>8128263</v>
      </c>
      <c r="G776">
        <v>115462</v>
      </c>
      <c r="H776">
        <v>1865</v>
      </c>
      <c r="I776">
        <v>33098</v>
      </c>
      <c r="J776">
        <v>14617722</v>
      </c>
      <c r="K776">
        <v>2039437</v>
      </c>
      <c r="L776">
        <v>641575</v>
      </c>
      <c r="M776">
        <v>53094</v>
      </c>
      <c r="N776">
        <v>1865</v>
      </c>
    </row>
    <row r="777" spans="1:14" x14ac:dyDescent="0.2">
      <c r="A777" s="22">
        <v>45702</v>
      </c>
      <c r="B777">
        <v>68130</v>
      </c>
      <c r="C777">
        <v>36123</v>
      </c>
      <c r="D777">
        <v>34308</v>
      </c>
      <c r="E777">
        <v>80</v>
      </c>
      <c r="F777">
        <v>8830328</v>
      </c>
      <c r="G777">
        <v>142196</v>
      </c>
      <c r="H777">
        <v>2193</v>
      </c>
      <c r="I777">
        <v>49437</v>
      </c>
      <c r="J777">
        <v>16172309</v>
      </c>
      <c r="K777">
        <v>2048287</v>
      </c>
      <c r="L777">
        <v>732022</v>
      </c>
      <c r="M777">
        <v>56504</v>
      </c>
      <c r="N777">
        <v>2193</v>
      </c>
    </row>
    <row r="778" spans="1:14" x14ac:dyDescent="0.2">
      <c r="A778" s="22">
        <v>45703</v>
      </c>
      <c r="B778">
        <v>70456</v>
      </c>
      <c r="C778">
        <v>30470</v>
      </c>
      <c r="D778">
        <v>47010</v>
      </c>
      <c r="E778">
        <v>135</v>
      </c>
      <c r="F778">
        <v>7513391</v>
      </c>
      <c r="G778">
        <v>90126</v>
      </c>
      <c r="H778">
        <v>2055</v>
      </c>
      <c r="I778">
        <v>38242</v>
      </c>
      <c r="J778">
        <v>11120448</v>
      </c>
      <c r="K778">
        <v>1612311</v>
      </c>
      <c r="L778">
        <v>440933</v>
      </c>
      <c r="M778">
        <v>34078</v>
      </c>
      <c r="N778">
        <v>2055</v>
      </c>
    </row>
    <row r="779" spans="1:14" x14ac:dyDescent="0.2">
      <c r="A779" s="22">
        <v>45704</v>
      </c>
      <c r="B779">
        <v>71419</v>
      </c>
      <c r="C779">
        <v>29575</v>
      </c>
      <c r="D779">
        <v>41473</v>
      </c>
      <c r="E779">
        <v>151</v>
      </c>
      <c r="F779">
        <v>10330731</v>
      </c>
      <c r="G779">
        <v>75542</v>
      </c>
      <c r="H779">
        <v>1711</v>
      </c>
      <c r="I779">
        <v>28238</v>
      </c>
      <c r="J779">
        <v>10051601</v>
      </c>
      <c r="K779">
        <v>1862244</v>
      </c>
      <c r="L779">
        <v>695002</v>
      </c>
      <c r="M779">
        <v>40623</v>
      </c>
      <c r="N779">
        <v>1711</v>
      </c>
    </row>
    <row r="780" spans="1:14" x14ac:dyDescent="0.2">
      <c r="A780" s="22">
        <v>45705</v>
      </c>
      <c r="B780">
        <v>68007</v>
      </c>
      <c r="C780">
        <v>28461</v>
      </c>
      <c r="D780">
        <v>36946</v>
      </c>
      <c r="E780">
        <v>163</v>
      </c>
      <c r="F780">
        <v>12386534</v>
      </c>
      <c r="G780">
        <v>148278</v>
      </c>
      <c r="H780">
        <v>2421</v>
      </c>
      <c r="I780">
        <v>46770</v>
      </c>
      <c r="J780">
        <v>13831032</v>
      </c>
      <c r="K780">
        <v>2117007</v>
      </c>
      <c r="L780">
        <v>806572</v>
      </c>
      <c r="M780">
        <v>66578</v>
      </c>
      <c r="N780">
        <v>2421</v>
      </c>
    </row>
    <row r="781" spans="1:14" x14ac:dyDescent="0.2">
      <c r="A781" s="22">
        <v>45706</v>
      </c>
      <c r="B781">
        <v>67540</v>
      </c>
      <c r="C781">
        <v>36257</v>
      </c>
      <c r="D781">
        <v>46781</v>
      </c>
      <c r="E781">
        <v>131</v>
      </c>
      <c r="F781">
        <v>12536107</v>
      </c>
      <c r="G781">
        <v>143064</v>
      </c>
      <c r="H781">
        <v>3182</v>
      </c>
      <c r="I781">
        <v>54303</v>
      </c>
      <c r="J781">
        <v>12808675</v>
      </c>
      <c r="K781">
        <v>2054058</v>
      </c>
      <c r="L781">
        <v>683771</v>
      </c>
      <c r="M781">
        <v>58650</v>
      </c>
      <c r="N781">
        <v>3182</v>
      </c>
    </row>
    <row r="782" spans="1:14" x14ac:dyDescent="0.2">
      <c r="A782" s="22">
        <v>45707</v>
      </c>
      <c r="B782">
        <v>74401</v>
      </c>
      <c r="C782">
        <v>33482</v>
      </c>
      <c r="D782">
        <v>45541</v>
      </c>
      <c r="E782">
        <v>171</v>
      </c>
      <c r="F782">
        <v>9322489</v>
      </c>
      <c r="G782">
        <v>90830</v>
      </c>
      <c r="H782">
        <v>2085</v>
      </c>
      <c r="I782">
        <v>46340</v>
      </c>
      <c r="J782">
        <v>14263975</v>
      </c>
      <c r="K782">
        <v>1861194</v>
      </c>
      <c r="L782">
        <v>343495</v>
      </c>
      <c r="M782">
        <v>39010</v>
      </c>
      <c r="N782">
        <v>2085</v>
      </c>
    </row>
    <row r="783" spans="1:14" x14ac:dyDescent="0.2">
      <c r="A783" s="22">
        <v>45708</v>
      </c>
      <c r="B783">
        <v>71189</v>
      </c>
      <c r="C783">
        <v>35902</v>
      </c>
      <c r="D783">
        <v>48693</v>
      </c>
      <c r="E783">
        <v>125</v>
      </c>
      <c r="F783">
        <v>7982190</v>
      </c>
      <c r="G783">
        <v>79319</v>
      </c>
      <c r="H783">
        <v>1799</v>
      </c>
      <c r="I783">
        <v>44499</v>
      </c>
      <c r="J783">
        <v>17332196</v>
      </c>
      <c r="K783">
        <v>2328950</v>
      </c>
      <c r="L783">
        <v>781861</v>
      </c>
      <c r="M783">
        <v>60519</v>
      </c>
      <c r="N783">
        <v>1799</v>
      </c>
    </row>
    <row r="784" spans="1:14" x14ac:dyDescent="0.2">
      <c r="A784" s="22">
        <v>45709</v>
      </c>
      <c r="B784">
        <v>68177</v>
      </c>
      <c r="C784">
        <v>30906</v>
      </c>
      <c r="D784">
        <v>35816</v>
      </c>
      <c r="E784">
        <v>148</v>
      </c>
      <c r="F784">
        <v>7981104</v>
      </c>
      <c r="G784">
        <v>107706</v>
      </c>
      <c r="H784">
        <v>1688</v>
      </c>
      <c r="I784">
        <v>34317</v>
      </c>
      <c r="J784">
        <v>19546047</v>
      </c>
      <c r="K784">
        <v>2357737</v>
      </c>
      <c r="L784">
        <v>678184</v>
      </c>
      <c r="M784">
        <v>56695</v>
      </c>
      <c r="N784">
        <v>1688</v>
      </c>
    </row>
    <row r="785" spans="1:14" x14ac:dyDescent="0.2">
      <c r="A785" s="22">
        <v>45710</v>
      </c>
      <c r="B785">
        <v>79876</v>
      </c>
      <c r="C785">
        <v>36327</v>
      </c>
      <c r="D785">
        <v>49323</v>
      </c>
      <c r="E785">
        <v>91</v>
      </c>
      <c r="F785">
        <v>7986612</v>
      </c>
      <c r="G785">
        <v>102228</v>
      </c>
      <c r="H785">
        <v>1938</v>
      </c>
      <c r="I785">
        <v>35743</v>
      </c>
      <c r="J785">
        <v>13732541</v>
      </c>
      <c r="K785">
        <v>1950675</v>
      </c>
      <c r="L785">
        <v>510969</v>
      </c>
      <c r="M785">
        <v>41622</v>
      </c>
      <c r="N785">
        <v>1938</v>
      </c>
    </row>
    <row r="786" spans="1:14" x14ac:dyDescent="0.2">
      <c r="A786" s="22">
        <v>45711</v>
      </c>
      <c r="B786">
        <v>75733</v>
      </c>
      <c r="C786">
        <v>26760</v>
      </c>
      <c r="D786">
        <v>41402</v>
      </c>
      <c r="E786">
        <v>150</v>
      </c>
      <c r="F786">
        <v>2922943</v>
      </c>
      <c r="G786">
        <v>31557</v>
      </c>
      <c r="H786">
        <v>1328</v>
      </c>
      <c r="I786">
        <v>15279</v>
      </c>
      <c r="J786">
        <v>15650309</v>
      </c>
      <c r="K786">
        <v>2101994</v>
      </c>
      <c r="L786">
        <v>572374</v>
      </c>
      <c r="M786">
        <v>45054</v>
      </c>
      <c r="N786">
        <v>1328</v>
      </c>
    </row>
    <row r="787" spans="1:14" x14ac:dyDescent="0.2">
      <c r="A787" s="22">
        <v>45712</v>
      </c>
      <c r="B787">
        <v>65550</v>
      </c>
      <c r="C787">
        <v>32126</v>
      </c>
      <c r="D787">
        <v>35328</v>
      </c>
      <c r="E787">
        <v>170</v>
      </c>
      <c r="F787">
        <v>8358883</v>
      </c>
      <c r="G787">
        <v>111990</v>
      </c>
      <c r="H787">
        <v>1370</v>
      </c>
      <c r="I787">
        <v>45956</v>
      </c>
      <c r="J787">
        <v>18697460</v>
      </c>
      <c r="K787">
        <v>2053016</v>
      </c>
      <c r="L787">
        <v>712257</v>
      </c>
      <c r="M787">
        <v>39973</v>
      </c>
      <c r="N787">
        <v>1370</v>
      </c>
    </row>
    <row r="788" spans="1:14" x14ac:dyDescent="0.2">
      <c r="A788" s="22">
        <v>45713</v>
      </c>
      <c r="B788">
        <v>66430</v>
      </c>
      <c r="C788">
        <v>25663</v>
      </c>
      <c r="D788">
        <v>52444</v>
      </c>
      <c r="E788">
        <v>90</v>
      </c>
      <c r="F788">
        <v>8879005</v>
      </c>
      <c r="G788">
        <v>111088</v>
      </c>
      <c r="H788">
        <v>1946</v>
      </c>
      <c r="I788">
        <v>42057</v>
      </c>
      <c r="J788">
        <v>15951691</v>
      </c>
      <c r="K788">
        <v>2079640</v>
      </c>
      <c r="L788">
        <v>557175</v>
      </c>
      <c r="M788">
        <v>51544</v>
      </c>
      <c r="N788">
        <v>1946</v>
      </c>
    </row>
    <row r="789" spans="1:14" x14ac:dyDescent="0.2">
      <c r="A789" s="22">
        <v>45714</v>
      </c>
      <c r="B789">
        <v>68609</v>
      </c>
      <c r="C789">
        <v>27678</v>
      </c>
      <c r="D789">
        <v>53168</v>
      </c>
      <c r="E789">
        <v>63</v>
      </c>
      <c r="F789">
        <v>8806771</v>
      </c>
      <c r="G789">
        <v>116921</v>
      </c>
      <c r="H789">
        <v>2354</v>
      </c>
      <c r="I789">
        <v>43738</v>
      </c>
      <c r="J789">
        <v>11695043</v>
      </c>
      <c r="K789">
        <v>2093683</v>
      </c>
      <c r="L789">
        <v>675733</v>
      </c>
      <c r="M789">
        <v>49641</v>
      </c>
      <c r="N789">
        <v>2354</v>
      </c>
    </row>
    <row r="790" spans="1:14" x14ac:dyDescent="0.2">
      <c r="A790" s="22">
        <v>45715</v>
      </c>
      <c r="B790">
        <v>76064</v>
      </c>
      <c r="C790">
        <v>32278</v>
      </c>
      <c r="D790">
        <v>47759</v>
      </c>
      <c r="E790">
        <v>65</v>
      </c>
      <c r="F790">
        <v>9380282</v>
      </c>
      <c r="G790">
        <v>130770</v>
      </c>
      <c r="H790">
        <v>2090</v>
      </c>
      <c r="I790">
        <v>42229</v>
      </c>
      <c r="J790">
        <v>15793069</v>
      </c>
      <c r="K790">
        <v>2360494</v>
      </c>
      <c r="L790">
        <v>625978</v>
      </c>
      <c r="M790">
        <v>62418</v>
      </c>
      <c r="N790">
        <v>2090</v>
      </c>
    </row>
    <row r="791" spans="1:14" x14ac:dyDescent="0.2">
      <c r="A791" s="22">
        <v>45716</v>
      </c>
      <c r="B791">
        <v>69218</v>
      </c>
      <c r="C791">
        <v>24891</v>
      </c>
      <c r="D791">
        <v>37093</v>
      </c>
      <c r="E791">
        <v>133</v>
      </c>
      <c r="F791">
        <v>9509202</v>
      </c>
      <c r="G791">
        <v>117972</v>
      </c>
      <c r="H791">
        <v>2243</v>
      </c>
      <c r="I791">
        <v>42445</v>
      </c>
      <c r="J791">
        <v>22793173</v>
      </c>
      <c r="K791">
        <v>2922682</v>
      </c>
      <c r="L791">
        <v>925123</v>
      </c>
      <c r="M791">
        <v>47766</v>
      </c>
      <c r="N791">
        <v>2243</v>
      </c>
    </row>
    <row r="792" spans="1:14" x14ac:dyDescent="0.2">
      <c r="A792" s="22">
        <v>45717</v>
      </c>
      <c r="B792">
        <v>77340</v>
      </c>
      <c r="C792">
        <v>40151</v>
      </c>
      <c r="D792">
        <v>60777</v>
      </c>
      <c r="E792">
        <v>155</v>
      </c>
      <c r="F792">
        <v>7263797</v>
      </c>
      <c r="G792">
        <v>85980</v>
      </c>
      <c r="H792">
        <v>1744</v>
      </c>
      <c r="I792">
        <v>32268</v>
      </c>
      <c r="J792">
        <v>21355610</v>
      </c>
      <c r="K792">
        <v>3072773</v>
      </c>
      <c r="L792">
        <v>922864</v>
      </c>
      <c r="M792">
        <v>51749</v>
      </c>
      <c r="N792">
        <v>1744</v>
      </c>
    </row>
    <row r="793" spans="1:14" x14ac:dyDescent="0.2">
      <c r="A793" s="22">
        <v>45718</v>
      </c>
      <c r="B793">
        <v>68706</v>
      </c>
      <c r="C793">
        <v>32756</v>
      </c>
      <c r="D793">
        <v>52933</v>
      </c>
      <c r="E793">
        <v>129</v>
      </c>
      <c r="F793">
        <v>8647774</v>
      </c>
      <c r="G793">
        <v>107286</v>
      </c>
      <c r="H793">
        <v>2325</v>
      </c>
      <c r="I793">
        <v>32507</v>
      </c>
      <c r="J793">
        <v>20508080</v>
      </c>
      <c r="K793">
        <v>2923520</v>
      </c>
      <c r="L793">
        <v>681154</v>
      </c>
      <c r="M793">
        <v>50638</v>
      </c>
      <c r="N793">
        <v>2325</v>
      </c>
    </row>
    <row r="794" spans="1:14" x14ac:dyDescent="0.2">
      <c r="A794" s="22">
        <v>45719</v>
      </c>
      <c r="B794">
        <v>70555</v>
      </c>
      <c r="C794">
        <v>34663</v>
      </c>
      <c r="D794">
        <v>37889</v>
      </c>
      <c r="E794">
        <v>162</v>
      </c>
      <c r="F794">
        <v>12470469</v>
      </c>
      <c r="G794">
        <v>137380</v>
      </c>
      <c r="H794">
        <v>2085</v>
      </c>
      <c r="I794">
        <v>44147</v>
      </c>
      <c r="J794">
        <v>20370030</v>
      </c>
      <c r="K794">
        <v>2854211</v>
      </c>
      <c r="L794">
        <v>983632</v>
      </c>
      <c r="M794">
        <v>52999</v>
      </c>
      <c r="N794">
        <v>2085</v>
      </c>
    </row>
    <row r="795" spans="1:14" x14ac:dyDescent="0.2">
      <c r="A795" s="22">
        <v>45720</v>
      </c>
      <c r="B795">
        <v>71507</v>
      </c>
      <c r="C795">
        <v>30639</v>
      </c>
      <c r="D795">
        <v>53547</v>
      </c>
      <c r="E795">
        <v>87</v>
      </c>
      <c r="F795">
        <v>13194943</v>
      </c>
      <c r="G795">
        <v>146707</v>
      </c>
      <c r="H795">
        <v>2796</v>
      </c>
      <c r="I795">
        <v>50822</v>
      </c>
      <c r="J795">
        <v>20658672</v>
      </c>
      <c r="K795">
        <v>3257202</v>
      </c>
      <c r="L795">
        <v>753067</v>
      </c>
      <c r="M795">
        <v>58346</v>
      </c>
      <c r="N795">
        <v>2796</v>
      </c>
    </row>
    <row r="796" spans="1:14" x14ac:dyDescent="0.2">
      <c r="A796" s="22">
        <v>45721</v>
      </c>
      <c r="B796">
        <v>75052</v>
      </c>
      <c r="C796">
        <v>33529</v>
      </c>
      <c r="D796">
        <v>46236</v>
      </c>
      <c r="E796">
        <v>83</v>
      </c>
      <c r="F796">
        <v>13787143</v>
      </c>
      <c r="G796">
        <v>174047</v>
      </c>
      <c r="H796">
        <v>2704</v>
      </c>
      <c r="I796">
        <v>51618</v>
      </c>
      <c r="J796">
        <v>22667250</v>
      </c>
      <c r="K796">
        <v>3279531</v>
      </c>
      <c r="L796">
        <v>881489</v>
      </c>
      <c r="M796">
        <v>55922</v>
      </c>
      <c r="N796">
        <v>2704</v>
      </c>
    </row>
    <row r="797" spans="1:14" x14ac:dyDescent="0.2">
      <c r="A797" s="22">
        <v>45722</v>
      </c>
      <c r="B797">
        <v>67898</v>
      </c>
      <c r="C797">
        <v>34253</v>
      </c>
      <c r="D797">
        <v>50086</v>
      </c>
      <c r="E797">
        <v>111</v>
      </c>
      <c r="F797">
        <v>13018480</v>
      </c>
      <c r="G797">
        <v>203038</v>
      </c>
      <c r="H797">
        <v>2158</v>
      </c>
      <c r="I797">
        <v>48909</v>
      </c>
      <c r="J797">
        <v>26013292</v>
      </c>
      <c r="K797">
        <v>3646056</v>
      </c>
      <c r="L797">
        <v>1315118</v>
      </c>
      <c r="M797">
        <v>57349</v>
      </c>
      <c r="N797">
        <v>2158</v>
      </c>
    </row>
    <row r="798" spans="1:14" x14ac:dyDescent="0.2">
      <c r="A798" s="22">
        <v>45723</v>
      </c>
      <c r="B798">
        <v>72210</v>
      </c>
      <c r="C798">
        <v>28448</v>
      </c>
      <c r="D798">
        <v>46049</v>
      </c>
      <c r="E798">
        <v>117</v>
      </c>
      <c r="F798">
        <v>10733941</v>
      </c>
      <c r="G798">
        <v>165792</v>
      </c>
      <c r="H798">
        <v>1835</v>
      </c>
      <c r="I798">
        <v>43621</v>
      </c>
      <c r="J798">
        <v>28060741</v>
      </c>
      <c r="K798">
        <v>4253860</v>
      </c>
      <c r="L798">
        <v>1541889</v>
      </c>
      <c r="M798">
        <v>61310</v>
      </c>
      <c r="N798">
        <v>1835</v>
      </c>
    </row>
    <row r="799" spans="1:14" x14ac:dyDescent="0.2">
      <c r="A799" s="22">
        <v>45724</v>
      </c>
      <c r="B799">
        <v>73158</v>
      </c>
      <c r="C799">
        <v>37962</v>
      </c>
      <c r="D799">
        <v>48147</v>
      </c>
      <c r="E799">
        <v>79</v>
      </c>
      <c r="F799">
        <v>10810632</v>
      </c>
      <c r="G799">
        <v>145173</v>
      </c>
      <c r="H799">
        <v>1993</v>
      </c>
      <c r="I799">
        <v>42527</v>
      </c>
      <c r="J799">
        <v>31966048</v>
      </c>
      <c r="K799">
        <v>4356298</v>
      </c>
      <c r="L799">
        <v>1609018</v>
      </c>
      <c r="M799">
        <v>56373</v>
      </c>
      <c r="N799">
        <v>1993</v>
      </c>
    </row>
    <row r="800" spans="1:14" x14ac:dyDescent="0.2">
      <c r="A800" s="22">
        <v>45725</v>
      </c>
      <c r="B800">
        <v>68718</v>
      </c>
      <c r="C800">
        <v>33638</v>
      </c>
      <c r="D800">
        <v>35678</v>
      </c>
      <c r="E800">
        <v>65</v>
      </c>
      <c r="F800">
        <v>5744176</v>
      </c>
      <c r="G800">
        <v>71574</v>
      </c>
      <c r="H800">
        <v>1299</v>
      </c>
      <c r="I800">
        <v>21548</v>
      </c>
      <c r="J800">
        <v>27885389</v>
      </c>
      <c r="K800">
        <v>3673641</v>
      </c>
      <c r="L800">
        <v>1386131</v>
      </c>
      <c r="M800">
        <v>42319</v>
      </c>
      <c r="N800">
        <v>1299</v>
      </c>
    </row>
    <row r="801" spans="1:14" x14ac:dyDescent="0.2">
      <c r="A801" s="22">
        <v>45726</v>
      </c>
      <c r="B801">
        <v>68921</v>
      </c>
      <c r="C801">
        <v>32620</v>
      </c>
      <c r="D801">
        <v>54670</v>
      </c>
      <c r="E801">
        <v>93</v>
      </c>
      <c r="F801">
        <v>10763040</v>
      </c>
      <c r="G801">
        <v>138322</v>
      </c>
      <c r="H801">
        <v>1370</v>
      </c>
      <c r="I801">
        <v>38963</v>
      </c>
      <c r="J801">
        <v>31123375</v>
      </c>
      <c r="K801">
        <v>4371151</v>
      </c>
      <c r="L801">
        <v>1564425</v>
      </c>
      <c r="M801">
        <v>52035</v>
      </c>
      <c r="N801">
        <v>1370</v>
      </c>
    </row>
    <row r="802" spans="1:14" x14ac:dyDescent="0.2">
      <c r="A802" s="22">
        <v>45727</v>
      </c>
      <c r="B802">
        <v>70809</v>
      </c>
      <c r="C802">
        <v>32687</v>
      </c>
      <c r="D802">
        <v>49225</v>
      </c>
      <c r="E802">
        <v>144</v>
      </c>
      <c r="F802">
        <v>9876186</v>
      </c>
      <c r="G802">
        <v>114594</v>
      </c>
      <c r="H802">
        <v>1637</v>
      </c>
      <c r="I802">
        <v>45108</v>
      </c>
      <c r="J802">
        <v>29757838</v>
      </c>
      <c r="K802">
        <v>4051689</v>
      </c>
      <c r="L802">
        <v>1507116</v>
      </c>
      <c r="M802">
        <v>52697</v>
      </c>
      <c r="N802">
        <v>1637</v>
      </c>
    </row>
    <row r="803" spans="1:14" x14ac:dyDescent="0.2">
      <c r="A803" s="22">
        <v>45728</v>
      </c>
      <c r="B803">
        <v>70253</v>
      </c>
      <c r="C803">
        <v>31150</v>
      </c>
      <c r="D803">
        <v>53046</v>
      </c>
      <c r="E803">
        <v>70</v>
      </c>
      <c r="F803">
        <v>8085545</v>
      </c>
      <c r="G803">
        <v>105133</v>
      </c>
      <c r="H803">
        <v>1930</v>
      </c>
      <c r="I803">
        <v>41251</v>
      </c>
      <c r="J803">
        <v>31367882</v>
      </c>
      <c r="K803">
        <v>4337407</v>
      </c>
      <c r="L803">
        <v>1545075</v>
      </c>
      <c r="M803">
        <v>51821</v>
      </c>
      <c r="N803">
        <v>1930</v>
      </c>
    </row>
    <row r="804" spans="1:14" x14ac:dyDescent="0.2">
      <c r="A804" s="22">
        <v>45729</v>
      </c>
      <c r="B804">
        <v>67835</v>
      </c>
      <c r="C804">
        <v>24430</v>
      </c>
      <c r="D804">
        <v>51668</v>
      </c>
      <c r="E804">
        <v>100</v>
      </c>
      <c r="F804">
        <v>10523714</v>
      </c>
      <c r="G804">
        <v>139012</v>
      </c>
      <c r="H804">
        <v>1857</v>
      </c>
      <c r="I804">
        <v>47852</v>
      </c>
      <c r="J804">
        <v>32189090</v>
      </c>
      <c r="K804">
        <v>4514796</v>
      </c>
      <c r="L804">
        <v>1636631</v>
      </c>
      <c r="M804">
        <v>52146</v>
      </c>
      <c r="N804">
        <v>1857</v>
      </c>
    </row>
    <row r="805" spans="1:14" x14ac:dyDescent="0.2">
      <c r="A805" s="22">
        <v>45730</v>
      </c>
      <c r="B805">
        <v>73275</v>
      </c>
      <c r="C805">
        <v>29058</v>
      </c>
      <c r="D805">
        <v>42010</v>
      </c>
      <c r="E805">
        <v>119</v>
      </c>
      <c r="F805">
        <v>11057478</v>
      </c>
      <c r="G805">
        <v>134154</v>
      </c>
      <c r="H805">
        <v>1723</v>
      </c>
      <c r="I805">
        <v>44990</v>
      </c>
      <c r="J805">
        <v>31379774</v>
      </c>
      <c r="K805">
        <v>4409072</v>
      </c>
      <c r="L805">
        <v>1185357</v>
      </c>
      <c r="M805">
        <v>51905</v>
      </c>
      <c r="N805">
        <v>1723</v>
      </c>
    </row>
    <row r="806" spans="1:14" x14ac:dyDescent="0.2">
      <c r="A806" s="22">
        <v>45731</v>
      </c>
      <c r="B806">
        <v>71433</v>
      </c>
      <c r="C806">
        <v>30689</v>
      </c>
      <c r="D806">
        <v>45003</v>
      </c>
      <c r="E806">
        <v>88</v>
      </c>
      <c r="F806">
        <v>9440718</v>
      </c>
      <c r="G806">
        <v>109696</v>
      </c>
      <c r="H806">
        <v>2066</v>
      </c>
      <c r="I806">
        <v>36970</v>
      </c>
      <c r="J806">
        <v>31992025</v>
      </c>
      <c r="K806">
        <v>4547064</v>
      </c>
      <c r="L806">
        <v>1478278</v>
      </c>
      <c r="M806">
        <v>48930</v>
      </c>
      <c r="N806">
        <v>2066</v>
      </c>
    </row>
    <row r="807" spans="1:14" x14ac:dyDescent="0.2">
      <c r="A807" s="22">
        <v>45732</v>
      </c>
      <c r="B807">
        <v>66187</v>
      </c>
      <c r="C807">
        <v>26350</v>
      </c>
      <c r="D807">
        <v>40801</v>
      </c>
      <c r="E807">
        <v>150</v>
      </c>
      <c r="F807">
        <v>3474372</v>
      </c>
      <c r="G807">
        <v>34149</v>
      </c>
      <c r="H807">
        <v>1023</v>
      </c>
      <c r="I807">
        <v>14911</v>
      </c>
      <c r="J807">
        <v>34979295</v>
      </c>
      <c r="K807">
        <v>4131938</v>
      </c>
      <c r="L807">
        <v>1359490</v>
      </c>
      <c r="M807">
        <v>45061</v>
      </c>
      <c r="N807">
        <v>1023</v>
      </c>
    </row>
    <row r="808" spans="1:14" x14ac:dyDescent="0.2">
      <c r="A808" s="22">
        <v>45733</v>
      </c>
      <c r="B808">
        <v>65419</v>
      </c>
      <c r="C808">
        <v>29288</v>
      </c>
      <c r="D808">
        <v>45921</v>
      </c>
      <c r="E808">
        <v>65</v>
      </c>
      <c r="F808">
        <v>8268022</v>
      </c>
      <c r="G808">
        <v>120741</v>
      </c>
      <c r="H808">
        <v>1010</v>
      </c>
      <c r="I808">
        <v>44743</v>
      </c>
      <c r="J808">
        <v>39470813</v>
      </c>
      <c r="K808">
        <v>4413993</v>
      </c>
      <c r="L808">
        <v>1435622</v>
      </c>
      <c r="M808">
        <v>54967</v>
      </c>
      <c r="N808">
        <v>1010</v>
      </c>
    </row>
    <row r="809" spans="1:14" x14ac:dyDescent="0.2">
      <c r="A809" s="22">
        <v>45734</v>
      </c>
      <c r="B809">
        <v>70561</v>
      </c>
      <c r="C809">
        <v>36390</v>
      </c>
      <c r="D809">
        <v>43316</v>
      </c>
      <c r="E809">
        <v>86</v>
      </c>
      <c r="F809">
        <v>9782628</v>
      </c>
      <c r="G809">
        <v>121355</v>
      </c>
      <c r="H809">
        <v>1619</v>
      </c>
      <c r="I809">
        <v>37924</v>
      </c>
      <c r="J809">
        <v>26386266</v>
      </c>
      <c r="K809">
        <v>4095085</v>
      </c>
      <c r="L809">
        <v>1208513</v>
      </c>
      <c r="M809">
        <v>54504</v>
      </c>
      <c r="N809">
        <v>1619</v>
      </c>
    </row>
    <row r="810" spans="1:14" x14ac:dyDescent="0.2">
      <c r="A810" s="22">
        <v>45735</v>
      </c>
      <c r="B810">
        <v>65602</v>
      </c>
      <c r="C810">
        <v>29438</v>
      </c>
      <c r="D810">
        <v>50671</v>
      </c>
      <c r="E810">
        <v>127</v>
      </c>
      <c r="F810">
        <v>10453564</v>
      </c>
      <c r="G810">
        <v>146787</v>
      </c>
      <c r="H810">
        <v>1573</v>
      </c>
      <c r="I810">
        <v>47303</v>
      </c>
      <c r="J810">
        <v>22358914</v>
      </c>
      <c r="K810">
        <v>3836820</v>
      </c>
      <c r="L810">
        <v>1134025</v>
      </c>
      <c r="M810">
        <v>55734</v>
      </c>
      <c r="N810">
        <v>1573</v>
      </c>
    </row>
    <row r="811" spans="1:14" x14ac:dyDescent="0.2">
      <c r="A811" s="22">
        <v>45736</v>
      </c>
      <c r="B811">
        <v>67682</v>
      </c>
      <c r="C811">
        <v>24311</v>
      </c>
      <c r="D811">
        <v>44832</v>
      </c>
      <c r="E811">
        <v>70</v>
      </c>
      <c r="F811">
        <v>10314205</v>
      </c>
      <c r="G811">
        <v>125808</v>
      </c>
      <c r="H811">
        <v>1787</v>
      </c>
      <c r="I811">
        <v>48216</v>
      </c>
      <c r="J811">
        <v>26754116</v>
      </c>
      <c r="K811">
        <v>3917011</v>
      </c>
      <c r="L811">
        <v>1216309</v>
      </c>
      <c r="M811">
        <v>51024</v>
      </c>
      <c r="N811">
        <v>1787</v>
      </c>
    </row>
    <row r="812" spans="1:14" x14ac:dyDescent="0.2">
      <c r="A812" s="22">
        <v>45737</v>
      </c>
      <c r="B812">
        <v>70572</v>
      </c>
      <c r="C812">
        <v>27283</v>
      </c>
      <c r="D812">
        <v>56328</v>
      </c>
      <c r="E812">
        <v>137</v>
      </c>
      <c r="F812">
        <v>8996889</v>
      </c>
      <c r="G812">
        <v>105453</v>
      </c>
      <c r="H812">
        <v>1597</v>
      </c>
      <c r="I812">
        <v>37979</v>
      </c>
      <c r="J812">
        <v>25710824</v>
      </c>
      <c r="K812">
        <v>4027821</v>
      </c>
      <c r="L812">
        <v>1155290</v>
      </c>
      <c r="M812">
        <v>48816</v>
      </c>
      <c r="N812">
        <v>1597</v>
      </c>
    </row>
    <row r="813" spans="1:14" x14ac:dyDescent="0.2">
      <c r="A813" s="22">
        <v>45738</v>
      </c>
      <c r="B813">
        <v>69463</v>
      </c>
      <c r="C813">
        <v>29378</v>
      </c>
      <c r="D813">
        <v>54937</v>
      </c>
      <c r="E813">
        <v>126</v>
      </c>
      <c r="F813">
        <v>8385810</v>
      </c>
      <c r="G813">
        <v>130501</v>
      </c>
      <c r="H813">
        <v>1772</v>
      </c>
      <c r="I813">
        <v>35519</v>
      </c>
      <c r="J813">
        <v>34575789</v>
      </c>
      <c r="K813">
        <v>4165227</v>
      </c>
      <c r="L813">
        <v>1026326</v>
      </c>
      <c r="M813">
        <v>42056</v>
      </c>
      <c r="N813">
        <v>1772</v>
      </c>
    </row>
    <row r="814" spans="1:14" x14ac:dyDescent="0.2">
      <c r="A814" s="22">
        <v>45739</v>
      </c>
      <c r="B814">
        <v>72766</v>
      </c>
      <c r="C814">
        <v>32135</v>
      </c>
      <c r="D814">
        <v>43824</v>
      </c>
      <c r="E814">
        <v>66</v>
      </c>
      <c r="F814">
        <v>4612795</v>
      </c>
      <c r="G814">
        <v>59686</v>
      </c>
      <c r="H814">
        <v>1450</v>
      </c>
      <c r="I814">
        <v>19853</v>
      </c>
      <c r="J814">
        <v>24004521</v>
      </c>
      <c r="K814">
        <v>3859240</v>
      </c>
      <c r="L814">
        <v>1613649</v>
      </c>
      <c r="M814">
        <v>52585</v>
      </c>
      <c r="N814">
        <v>1450</v>
      </c>
    </row>
    <row r="815" spans="1:14" x14ac:dyDescent="0.2">
      <c r="A815" s="22">
        <v>45740</v>
      </c>
      <c r="B815">
        <v>77202</v>
      </c>
      <c r="C815">
        <v>38338</v>
      </c>
      <c r="D815">
        <v>47078</v>
      </c>
      <c r="E815">
        <v>78</v>
      </c>
      <c r="F815">
        <v>8691576</v>
      </c>
      <c r="G815">
        <v>114103</v>
      </c>
      <c r="H815">
        <v>2009</v>
      </c>
      <c r="I815">
        <v>38834</v>
      </c>
      <c r="J815">
        <v>22560184</v>
      </c>
      <c r="K815">
        <v>3855786</v>
      </c>
      <c r="L815">
        <v>1108166</v>
      </c>
      <c r="M815">
        <v>52029</v>
      </c>
      <c r="N815">
        <v>2009</v>
      </c>
    </row>
    <row r="816" spans="1:14" x14ac:dyDescent="0.2">
      <c r="A816" s="22">
        <v>45741</v>
      </c>
      <c r="B816">
        <v>75348</v>
      </c>
      <c r="C816">
        <v>34405</v>
      </c>
      <c r="D816">
        <v>51742</v>
      </c>
      <c r="E816">
        <v>84</v>
      </c>
      <c r="F816">
        <v>10925791</v>
      </c>
      <c r="G816">
        <v>176333</v>
      </c>
      <c r="H816">
        <v>3206</v>
      </c>
      <c r="I816">
        <v>53152</v>
      </c>
      <c r="J816">
        <v>26098851</v>
      </c>
      <c r="K816">
        <v>3915447</v>
      </c>
      <c r="L816">
        <v>1232016</v>
      </c>
      <c r="M816">
        <v>51758</v>
      </c>
      <c r="N816">
        <v>3206</v>
      </c>
    </row>
    <row r="817" spans="1:14" x14ac:dyDescent="0.2">
      <c r="A817" s="22">
        <v>45742</v>
      </c>
      <c r="B817">
        <v>69861</v>
      </c>
      <c r="C817">
        <v>37130</v>
      </c>
      <c r="D817">
        <v>35382</v>
      </c>
      <c r="E817">
        <v>161</v>
      </c>
      <c r="F817">
        <v>12527036</v>
      </c>
      <c r="G817">
        <v>183462</v>
      </c>
      <c r="H817">
        <v>3001</v>
      </c>
      <c r="I817">
        <v>54191</v>
      </c>
      <c r="J817">
        <v>30764298</v>
      </c>
      <c r="K817">
        <v>3960996</v>
      </c>
      <c r="L817">
        <v>1297938</v>
      </c>
      <c r="M817">
        <v>55123</v>
      </c>
      <c r="N817">
        <v>3001</v>
      </c>
    </row>
    <row r="818" spans="1:14" x14ac:dyDescent="0.2">
      <c r="A818" s="22">
        <v>45743</v>
      </c>
      <c r="B818">
        <v>73786</v>
      </c>
      <c r="C818">
        <v>29610</v>
      </c>
      <c r="D818">
        <v>57960</v>
      </c>
      <c r="E818">
        <v>128</v>
      </c>
      <c r="F818">
        <v>9687479</v>
      </c>
      <c r="G818">
        <v>122107</v>
      </c>
      <c r="H818">
        <v>2090</v>
      </c>
      <c r="I818">
        <v>42548</v>
      </c>
      <c r="J818">
        <v>33874218</v>
      </c>
      <c r="K818">
        <v>4273148</v>
      </c>
      <c r="L818">
        <v>1031088</v>
      </c>
      <c r="M818">
        <v>56382</v>
      </c>
      <c r="N818">
        <v>2090</v>
      </c>
    </row>
    <row r="819" spans="1:14" x14ac:dyDescent="0.2">
      <c r="A819" s="22">
        <v>45744</v>
      </c>
      <c r="B819">
        <v>71151</v>
      </c>
      <c r="C819">
        <v>26024</v>
      </c>
      <c r="D819">
        <v>46881</v>
      </c>
      <c r="E819">
        <v>143</v>
      </c>
      <c r="F819">
        <v>7702200</v>
      </c>
      <c r="G819">
        <v>93833</v>
      </c>
      <c r="H819">
        <v>1686</v>
      </c>
      <c r="I819">
        <v>36617</v>
      </c>
      <c r="J819">
        <v>35357275</v>
      </c>
      <c r="K819">
        <v>4313042</v>
      </c>
      <c r="L819">
        <v>1256697</v>
      </c>
      <c r="M819">
        <v>50938</v>
      </c>
      <c r="N819">
        <v>1686</v>
      </c>
    </row>
    <row r="820" spans="1:14" x14ac:dyDescent="0.2">
      <c r="A820" s="22">
        <v>45745</v>
      </c>
      <c r="B820">
        <v>78053</v>
      </c>
      <c r="C820">
        <v>35270</v>
      </c>
      <c r="D820">
        <v>52939</v>
      </c>
      <c r="E820">
        <v>120</v>
      </c>
      <c r="F820">
        <v>6278653</v>
      </c>
      <c r="G820">
        <v>80408</v>
      </c>
      <c r="H820">
        <v>1316</v>
      </c>
      <c r="I820">
        <v>31779</v>
      </c>
      <c r="J820">
        <v>31255265</v>
      </c>
      <c r="K820">
        <v>3836236</v>
      </c>
      <c r="L820">
        <v>1470502</v>
      </c>
      <c r="M820">
        <v>51107</v>
      </c>
      <c r="N820">
        <v>1316</v>
      </c>
    </row>
    <row r="821" spans="1:14" x14ac:dyDescent="0.2">
      <c r="A821" s="22">
        <v>45746</v>
      </c>
      <c r="B821">
        <v>69498</v>
      </c>
      <c r="C821">
        <v>36998</v>
      </c>
      <c r="D821">
        <v>50488</v>
      </c>
      <c r="E821">
        <v>106</v>
      </c>
      <c r="F821">
        <v>2452374</v>
      </c>
      <c r="G821">
        <v>29532</v>
      </c>
      <c r="H821">
        <v>855</v>
      </c>
      <c r="I821">
        <v>16380</v>
      </c>
      <c r="J821">
        <v>23871029</v>
      </c>
      <c r="K821">
        <v>3654491</v>
      </c>
      <c r="L821">
        <v>1072271</v>
      </c>
      <c r="M821">
        <v>40915</v>
      </c>
      <c r="N821">
        <v>855</v>
      </c>
    </row>
    <row r="822" spans="1:14" x14ac:dyDescent="0.2">
      <c r="A822" s="22">
        <v>45747</v>
      </c>
      <c r="B822">
        <v>65593</v>
      </c>
      <c r="C822">
        <v>34306</v>
      </c>
      <c r="D822">
        <v>47873</v>
      </c>
      <c r="E822">
        <v>74</v>
      </c>
      <c r="F822">
        <v>8830653</v>
      </c>
      <c r="G822">
        <v>149969</v>
      </c>
      <c r="H822">
        <v>2344</v>
      </c>
      <c r="I822">
        <v>47326</v>
      </c>
      <c r="J822">
        <v>34315604</v>
      </c>
      <c r="K822">
        <v>3718511</v>
      </c>
      <c r="L822">
        <v>926504</v>
      </c>
      <c r="M822">
        <v>54468</v>
      </c>
      <c r="N822">
        <v>2344</v>
      </c>
    </row>
    <row r="823" spans="1:14" x14ac:dyDescent="0.2">
      <c r="A823" s="22">
        <v>45748</v>
      </c>
      <c r="B823">
        <v>74240</v>
      </c>
      <c r="C823">
        <v>29351</v>
      </c>
      <c r="D823">
        <v>46976</v>
      </c>
      <c r="E823">
        <v>144</v>
      </c>
      <c r="F823">
        <v>9432389</v>
      </c>
      <c r="G823">
        <v>166540</v>
      </c>
      <c r="H823">
        <v>2213</v>
      </c>
      <c r="I823">
        <v>44372</v>
      </c>
      <c r="J823">
        <v>41207449</v>
      </c>
      <c r="K823">
        <v>5815931</v>
      </c>
      <c r="L823">
        <v>1767482</v>
      </c>
      <c r="M823">
        <v>60457</v>
      </c>
      <c r="N823">
        <v>2213</v>
      </c>
    </row>
    <row r="824" spans="1:14" x14ac:dyDescent="0.2">
      <c r="A824" s="22">
        <v>45749</v>
      </c>
      <c r="B824">
        <v>73676</v>
      </c>
      <c r="C824">
        <v>35690</v>
      </c>
      <c r="D824">
        <v>55608</v>
      </c>
      <c r="E824">
        <v>101</v>
      </c>
      <c r="F824">
        <v>9181160</v>
      </c>
      <c r="G824">
        <v>145577</v>
      </c>
      <c r="H824">
        <v>1892</v>
      </c>
      <c r="I824">
        <v>46912</v>
      </c>
      <c r="J824">
        <v>34185468</v>
      </c>
      <c r="K824">
        <v>4046420</v>
      </c>
      <c r="L824">
        <v>1163320</v>
      </c>
      <c r="M824">
        <v>39396</v>
      </c>
      <c r="N824">
        <v>1892</v>
      </c>
    </row>
    <row r="825" spans="1:14" x14ac:dyDescent="0.2">
      <c r="A825" s="22">
        <v>45750</v>
      </c>
      <c r="B825">
        <v>79898</v>
      </c>
      <c r="C825">
        <v>30847</v>
      </c>
      <c r="D825">
        <v>59364</v>
      </c>
      <c r="E825">
        <v>138</v>
      </c>
      <c r="F825">
        <v>8959944</v>
      </c>
      <c r="G825">
        <v>117167</v>
      </c>
      <c r="H825">
        <v>1438</v>
      </c>
      <c r="I825">
        <v>40303</v>
      </c>
      <c r="J825">
        <v>29805487</v>
      </c>
      <c r="K825">
        <v>4403178</v>
      </c>
      <c r="L825">
        <v>1261608</v>
      </c>
      <c r="M825">
        <v>41770</v>
      </c>
      <c r="N825">
        <v>1438</v>
      </c>
    </row>
    <row r="826" spans="1:14" x14ac:dyDescent="0.2">
      <c r="A826" s="22">
        <v>45751</v>
      </c>
      <c r="B826">
        <v>75597</v>
      </c>
      <c r="C826">
        <v>39447</v>
      </c>
      <c r="D826">
        <v>58210</v>
      </c>
      <c r="E826">
        <v>109</v>
      </c>
      <c r="F826">
        <v>9648619</v>
      </c>
      <c r="G826">
        <v>138372</v>
      </c>
      <c r="H826">
        <v>1895</v>
      </c>
      <c r="I826">
        <v>41674</v>
      </c>
      <c r="J826">
        <v>32514728</v>
      </c>
      <c r="K826">
        <v>4961378</v>
      </c>
      <c r="L826">
        <v>1772464</v>
      </c>
      <c r="M826">
        <v>48073</v>
      </c>
      <c r="N826">
        <v>1895</v>
      </c>
    </row>
    <row r="827" spans="1:14" x14ac:dyDescent="0.2">
      <c r="A827" s="22">
        <v>45752</v>
      </c>
      <c r="B827">
        <v>66171</v>
      </c>
      <c r="C827">
        <v>30819</v>
      </c>
      <c r="D827">
        <v>34341</v>
      </c>
      <c r="E827">
        <v>64</v>
      </c>
      <c r="F827">
        <v>7563877</v>
      </c>
      <c r="G827">
        <v>105579</v>
      </c>
      <c r="H827">
        <v>1691</v>
      </c>
      <c r="I827">
        <v>35164</v>
      </c>
      <c r="J827">
        <v>33811494</v>
      </c>
      <c r="K827">
        <v>4449210</v>
      </c>
      <c r="L827">
        <v>1208354</v>
      </c>
      <c r="M827">
        <v>38390</v>
      </c>
      <c r="N827">
        <v>1691</v>
      </c>
    </row>
    <row r="828" spans="1:14" x14ac:dyDescent="0.2">
      <c r="A828" s="22">
        <v>45753</v>
      </c>
      <c r="B828">
        <v>70883</v>
      </c>
      <c r="C828">
        <v>31611</v>
      </c>
      <c r="D828">
        <v>46901</v>
      </c>
      <c r="E828">
        <v>154</v>
      </c>
      <c r="F828">
        <v>5663375</v>
      </c>
      <c r="G828">
        <v>83758</v>
      </c>
      <c r="H828">
        <v>1366</v>
      </c>
      <c r="I828">
        <v>26704</v>
      </c>
      <c r="J828">
        <v>32615916</v>
      </c>
      <c r="K828">
        <v>3935863</v>
      </c>
      <c r="L828">
        <v>1593778</v>
      </c>
      <c r="M828">
        <v>28073</v>
      </c>
      <c r="N828">
        <v>1366</v>
      </c>
    </row>
    <row r="829" spans="1:14" x14ac:dyDescent="0.2">
      <c r="A829" s="22">
        <v>45754</v>
      </c>
      <c r="B829">
        <v>79675</v>
      </c>
      <c r="C829">
        <v>39743</v>
      </c>
      <c r="D829">
        <v>60705</v>
      </c>
      <c r="E829">
        <v>78</v>
      </c>
      <c r="F829">
        <v>16292682</v>
      </c>
      <c r="G829">
        <v>283266</v>
      </c>
      <c r="H829">
        <v>3504</v>
      </c>
      <c r="I829">
        <v>56104</v>
      </c>
      <c r="J829">
        <v>33488434</v>
      </c>
      <c r="K829">
        <v>3985492</v>
      </c>
      <c r="L829">
        <v>1507616</v>
      </c>
      <c r="M829">
        <v>40848</v>
      </c>
      <c r="N829">
        <v>3504</v>
      </c>
    </row>
    <row r="830" spans="1:14" x14ac:dyDescent="0.2">
      <c r="A830" s="22">
        <v>45755</v>
      </c>
      <c r="B830">
        <v>72128</v>
      </c>
      <c r="C830">
        <v>27482</v>
      </c>
      <c r="D830">
        <v>41723</v>
      </c>
      <c r="E830">
        <v>83</v>
      </c>
      <c r="F830">
        <v>14684626</v>
      </c>
      <c r="G830">
        <v>227241</v>
      </c>
      <c r="H830">
        <v>3058</v>
      </c>
      <c r="I830">
        <v>56173</v>
      </c>
      <c r="J830">
        <v>20065172</v>
      </c>
      <c r="K830">
        <v>3979646</v>
      </c>
      <c r="L830">
        <v>1247278</v>
      </c>
      <c r="M830">
        <v>37076</v>
      </c>
      <c r="N830">
        <v>3058</v>
      </c>
    </row>
    <row r="831" spans="1:14" x14ac:dyDescent="0.2">
      <c r="A831" s="22">
        <v>45756</v>
      </c>
      <c r="B831">
        <v>75823</v>
      </c>
      <c r="C831">
        <v>37779</v>
      </c>
      <c r="D831">
        <v>45404</v>
      </c>
      <c r="E831">
        <v>152</v>
      </c>
      <c r="F831">
        <v>8639994</v>
      </c>
      <c r="G831">
        <v>144130</v>
      </c>
      <c r="H831">
        <v>2307</v>
      </c>
      <c r="I831">
        <v>40924</v>
      </c>
      <c r="J831">
        <v>28754939</v>
      </c>
      <c r="K831">
        <v>4023202</v>
      </c>
      <c r="L831">
        <v>1458571</v>
      </c>
      <c r="M831">
        <v>40730</v>
      </c>
      <c r="N831">
        <v>2307</v>
      </c>
    </row>
    <row r="832" spans="1:14" x14ac:dyDescent="0.2">
      <c r="A832" s="22">
        <v>45757</v>
      </c>
      <c r="B832">
        <v>74665</v>
      </c>
      <c r="C832">
        <v>26967</v>
      </c>
      <c r="D832">
        <v>49039</v>
      </c>
      <c r="E832">
        <v>126</v>
      </c>
      <c r="F832">
        <v>9425414</v>
      </c>
      <c r="G832">
        <v>198616</v>
      </c>
      <c r="H832">
        <v>2570</v>
      </c>
      <c r="I832">
        <v>61002</v>
      </c>
      <c r="J832">
        <v>31190477</v>
      </c>
      <c r="K832">
        <v>4251278</v>
      </c>
      <c r="L832">
        <v>1598209</v>
      </c>
      <c r="M832">
        <v>41137</v>
      </c>
      <c r="N832">
        <v>2570</v>
      </c>
    </row>
    <row r="833" spans="1:14" x14ac:dyDescent="0.2">
      <c r="A833" s="22">
        <v>45758</v>
      </c>
      <c r="B833">
        <v>71448</v>
      </c>
      <c r="C833">
        <v>26622</v>
      </c>
      <c r="D833">
        <v>56184</v>
      </c>
      <c r="E833">
        <v>174</v>
      </c>
      <c r="F833">
        <v>9338996</v>
      </c>
      <c r="G833">
        <v>168025</v>
      </c>
      <c r="H833">
        <v>2573</v>
      </c>
      <c r="I833">
        <v>47131</v>
      </c>
      <c r="J833">
        <v>38675838</v>
      </c>
      <c r="K833">
        <v>3827124</v>
      </c>
      <c r="L833">
        <v>1264425</v>
      </c>
      <c r="M833">
        <v>43750</v>
      </c>
      <c r="N833">
        <v>2573</v>
      </c>
    </row>
    <row r="834" spans="1:14" x14ac:dyDescent="0.2">
      <c r="A834" s="22">
        <v>45759</v>
      </c>
      <c r="B834">
        <v>75107</v>
      </c>
      <c r="C834">
        <v>32018</v>
      </c>
      <c r="D834">
        <v>38236</v>
      </c>
      <c r="E834">
        <v>166</v>
      </c>
      <c r="F834">
        <v>7704387</v>
      </c>
      <c r="G834">
        <v>133666</v>
      </c>
      <c r="H834">
        <v>2276</v>
      </c>
      <c r="I834">
        <v>41393</v>
      </c>
      <c r="J834">
        <v>27223630</v>
      </c>
      <c r="K834">
        <v>3888597</v>
      </c>
      <c r="L834">
        <v>891494</v>
      </c>
      <c r="M834">
        <v>44538</v>
      </c>
      <c r="N834">
        <v>2276</v>
      </c>
    </row>
    <row r="835" spans="1:14" x14ac:dyDescent="0.2">
      <c r="A835" s="22">
        <v>45760</v>
      </c>
      <c r="B835">
        <v>67659</v>
      </c>
      <c r="C835">
        <v>29335</v>
      </c>
      <c r="D835">
        <v>41736</v>
      </c>
      <c r="E835">
        <v>124</v>
      </c>
      <c r="F835">
        <v>4942655</v>
      </c>
      <c r="G835">
        <v>69509</v>
      </c>
      <c r="H835">
        <v>1458</v>
      </c>
      <c r="I835">
        <v>25882</v>
      </c>
      <c r="J835">
        <v>27968929</v>
      </c>
      <c r="K835">
        <v>4113142</v>
      </c>
      <c r="L835">
        <v>948533</v>
      </c>
      <c r="M835">
        <v>39961</v>
      </c>
      <c r="N835">
        <v>1458</v>
      </c>
    </row>
    <row r="836" spans="1:14" x14ac:dyDescent="0.2">
      <c r="A836" s="22">
        <v>45761</v>
      </c>
      <c r="B836">
        <v>70345</v>
      </c>
      <c r="C836">
        <v>32566</v>
      </c>
      <c r="D836">
        <v>44362</v>
      </c>
      <c r="E836">
        <v>110</v>
      </c>
      <c r="F836">
        <v>10342040</v>
      </c>
      <c r="G836">
        <v>181043</v>
      </c>
      <c r="H836">
        <v>2243</v>
      </c>
      <c r="I836">
        <v>51332</v>
      </c>
      <c r="J836">
        <v>32861189</v>
      </c>
      <c r="K836">
        <v>4050178</v>
      </c>
      <c r="L836">
        <v>970805</v>
      </c>
      <c r="M836">
        <v>46971</v>
      </c>
      <c r="N836">
        <v>2243</v>
      </c>
    </row>
    <row r="837" spans="1:14" x14ac:dyDescent="0.2">
      <c r="A837" s="22">
        <v>45762</v>
      </c>
      <c r="B837">
        <v>67749</v>
      </c>
      <c r="C837">
        <v>34468</v>
      </c>
      <c r="D837">
        <v>45834</v>
      </c>
      <c r="E837">
        <v>122</v>
      </c>
      <c r="F837">
        <v>9826417</v>
      </c>
      <c r="G837">
        <v>170849</v>
      </c>
      <c r="H837">
        <v>2444</v>
      </c>
      <c r="I837">
        <v>41540</v>
      </c>
      <c r="J837">
        <v>31752104</v>
      </c>
      <c r="K837">
        <v>3612253</v>
      </c>
      <c r="L837">
        <v>1482523</v>
      </c>
      <c r="M837">
        <v>42445</v>
      </c>
      <c r="N837">
        <v>2444</v>
      </c>
    </row>
    <row r="838" spans="1:14" x14ac:dyDescent="0.2">
      <c r="A838" s="22">
        <v>45763</v>
      </c>
      <c r="B838">
        <v>76380</v>
      </c>
      <c r="C838">
        <v>29913</v>
      </c>
      <c r="D838">
        <v>52172</v>
      </c>
      <c r="E838">
        <v>144</v>
      </c>
      <c r="F838">
        <v>9065534</v>
      </c>
      <c r="G838">
        <v>175205</v>
      </c>
      <c r="H838">
        <v>2291</v>
      </c>
      <c r="I838">
        <v>41192</v>
      </c>
      <c r="J838">
        <v>24560891</v>
      </c>
      <c r="K838">
        <v>3420560</v>
      </c>
      <c r="L838">
        <v>1287132</v>
      </c>
      <c r="M838">
        <v>48183</v>
      </c>
      <c r="N838">
        <v>2291</v>
      </c>
    </row>
    <row r="839" spans="1:14" x14ac:dyDescent="0.2">
      <c r="A839" s="22">
        <v>45764</v>
      </c>
      <c r="B839">
        <v>76716</v>
      </c>
      <c r="C839">
        <v>29842</v>
      </c>
      <c r="D839">
        <v>58270</v>
      </c>
      <c r="E839">
        <v>77</v>
      </c>
      <c r="F839">
        <v>17936615</v>
      </c>
      <c r="G839">
        <v>513019</v>
      </c>
      <c r="H839">
        <v>7453</v>
      </c>
      <c r="I839">
        <v>119030</v>
      </c>
      <c r="J839">
        <v>34300736</v>
      </c>
      <c r="K839">
        <v>4084324</v>
      </c>
      <c r="L839">
        <v>1449588</v>
      </c>
      <c r="M839">
        <v>110344</v>
      </c>
      <c r="N839">
        <v>7453</v>
      </c>
    </row>
    <row r="840" spans="1:14" x14ac:dyDescent="0.2">
      <c r="A840" s="22">
        <v>45765</v>
      </c>
      <c r="B840">
        <v>70912</v>
      </c>
      <c r="C840">
        <v>38077</v>
      </c>
      <c r="D840">
        <v>47147</v>
      </c>
      <c r="E840">
        <v>115</v>
      </c>
      <c r="F840">
        <v>15806996</v>
      </c>
      <c r="G840">
        <v>299287</v>
      </c>
      <c r="H840">
        <v>4374</v>
      </c>
      <c r="I840">
        <v>61067</v>
      </c>
      <c r="J840">
        <v>40394866</v>
      </c>
      <c r="K840">
        <v>4685883</v>
      </c>
      <c r="L840">
        <v>1765036</v>
      </c>
      <c r="M840">
        <v>46588</v>
      </c>
      <c r="N840">
        <v>4374</v>
      </c>
    </row>
    <row r="841" spans="1:14" x14ac:dyDescent="0.2">
      <c r="A841" s="22">
        <v>45766</v>
      </c>
      <c r="B841">
        <v>75822</v>
      </c>
      <c r="C841">
        <v>27627</v>
      </c>
      <c r="D841">
        <v>39287</v>
      </c>
      <c r="E841">
        <v>97</v>
      </c>
      <c r="F841">
        <v>21935372</v>
      </c>
      <c r="G841">
        <v>553792</v>
      </c>
      <c r="H841">
        <v>7427</v>
      </c>
      <c r="I841">
        <v>123233</v>
      </c>
      <c r="J841">
        <v>20959888</v>
      </c>
      <c r="K841">
        <v>3379785</v>
      </c>
      <c r="L841">
        <v>1131400</v>
      </c>
      <c r="M841">
        <v>110537</v>
      </c>
      <c r="N841">
        <v>7427</v>
      </c>
    </row>
    <row r="842" spans="1:14" x14ac:dyDescent="0.2">
      <c r="A842" s="22">
        <v>45767</v>
      </c>
      <c r="B842">
        <v>66214</v>
      </c>
      <c r="C842">
        <v>35722</v>
      </c>
      <c r="D842">
        <v>33255</v>
      </c>
      <c r="E842">
        <v>83</v>
      </c>
      <c r="F842">
        <v>10369739</v>
      </c>
      <c r="G842">
        <v>239748</v>
      </c>
      <c r="H842">
        <v>4349</v>
      </c>
      <c r="I842">
        <v>45969</v>
      </c>
      <c r="J842">
        <v>11958142</v>
      </c>
      <c r="K842">
        <v>1511410</v>
      </c>
      <c r="L842">
        <v>503902</v>
      </c>
      <c r="M842">
        <v>33780</v>
      </c>
      <c r="N842">
        <v>4349</v>
      </c>
    </row>
    <row r="843" spans="1:14" x14ac:dyDescent="0.2">
      <c r="A843" s="22">
        <v>45768</v>
      </c>
      <c r="B843">
        <v>74667</v>
      </c>
      <c r="C843">
        <v>35664</v>
      </c>
      <c r="D843">
        <v>40523</v>
      </c>
      <c r="E843">
        <v>86</v>
      </c>
      <c r="F843">
        <v>9470498</v>
      </c>
      <c r="G843">
        <v>167460</v>
      </c>
      <c r="H843">
        <v>2511</v>
      </c>
      <c r="I843">
        <v>47213</v>
      </c>
      <c r="J843">
        <v>8837643</v>
      </c>
      <c r="K843">
        <v>1534284</v>
      </c>
      <c r="L843">
        <v>491188</v>
      </c>
      <c r="M843">
        <v>42700</v>
      </c>
      <c r="N843">
        <v>2511</v>
      </c>
    </row>
    <row r="844" spans="1:14" x14ac:dyDescent="0.2">
      <c r="A844" s="22">
        <v>45769</v>
      </c>
      <c r="B844">
        <v>67391</v>
      </c>
      <c r="C844">
        <v>31929</v>
      </c>
      <c r="D844">
        <v>52740</v>
      </c>
      <c r="E844">
        <v>72</v>
      </c>
      <c r="F844">
        <v>12765979</v>
      </c>
      <c r="G844">
        <v>168372</v>
      </c>
      <c r="H844">
        <v>2745</v>
      </c>
      <c r="I844">
        <v>61205</v>
      </c>
      <c r="J844">
        <v>10783266</v>
      </c>
      <c r="K844">
        <v>1595316</v>
      </c>
      <c r="L844">
        <v>427455</v>
      </c>
      <c r="M844">
        <v>57256</v>
      </c>
      <c r="N844">
        <v>2745</v>
      </c>
    </row>
    <row r="845" spans="1:14" x14ac:dyDescent="0.2">
      <c r="A845" s="22">
        <v>45770</v>
      </c>
      <c r="B845">
        <v>76899</v>
      </c>
      <c r="C845">
        <v>27783</v>
      </c>
      <c r="D845">
        <v>46873</v>
      </c>
      <c r="E845">
        <v>76</v>
      </c>
      <c r="F845">
        <v>12043004</v>
      </c>
      <c r="G845">
        <v>219172</v>
      </c>
      <c r="H845">
        <v>3672</v>
      </c>
      <c r="I845">
        <v>54644</v>
      </c>
      <c r="J845">
        <v>9592083</v>
      </c>
      <c r="K845">
        <v>1563674</v>
      </c>
      <c r="L845">
        <v>516724</v>
      </c>
      <c r="M845">
        <v>41263</v>
      </c>
      <c r="N845">
        <v>3672</v>
      </c>
    </row>
    <row r="846" spans="1:14" x14ac:dyDescent="0.2">
      <c r="A846" s="22">
        <v>45771</v>
      </c>
      <c r="B846">
        <v>69246</v>
      </c>
      <c r="C846">
        <v>26861</v>
      </c>
      <c r="D846">
        <v>39192</v>
      </c>
      <c r="E846">
        <v>111</v>
      </c>
      <c r="F846">
        <v>10753768</v>
      </c>
      <c r="G846">
        <v>191202</v>
      </c>
      <c r="H846">
        <v>3595</v>
      </c>
      <c r="I846">
        <v>44458</v>
      </c>
      <c r="J846">
        <v>11933002</v>
      </c>
      <c r="K846">
        <v>1473812</v>
      </c>
      <c r="L846">
        <v>385746</v>
      </c>
      <c r="M846">
        <v>33837</v>
      </c>
      <c r="N846">
        <v>3595</v>
      </c>
    </row>
    <row r="847" spans="1:14" x14ac:dyDescent="0.2">
      <c r="A847" s="22">
        <v>45772</v>
      </c>
      <c r="B847">
        <v>71532</v>
      </c>
      <c r="C847">
        <v>37547</v>
      </c>
      <c r="D847">
        <v>47536</v>
      </c>
      <c r="E847">
        <v>177</v>
      </c>
      <c r="F847">
        <v>14311372</v>
      </c>
      <c r="G847">
        <v>251931</v>
      </c>
      <c r="H847">
        <v>3493</v>
      </c>
      <c r="I847">
        <v>50239</v>
      </c>
      <c r="J847">
        <v>7926071</v>
      </c>
      <c r="K847">
        <v>1516439</v>
      </c>
      <c r="L847">
        <v>530183</v>
      </c>
      <c r="M847">
        <v>34676</v>
      </c>
      <c r="N847">
        <v>3493</v>
      </c>
    </row>
    <row r="848" spans="1:14" x14ac:dyDescent="0.2">
      <c r="A848" s="22">
        <v>45773</v>
      </c>
      <c r="B848">
        <v>78883</v>
      </c>
      <c r="C848">
        <v>35586</v>
      </c>
      <c r="D848">
        <v>55344</v>
      </c>
      <c r="E848">
        <v>168</v>
      </c>
      <c r="F848">
        <v>10879394</v>
      </c>
      <c r="G848">
        <v>173424</v>
      </c>
      <c r="H848">
        <v>2501</v>
      </c>
      <c r="I848">
        <v>42728</v>
      </c>
      <c r="J848">
        <v>12993476</v>
      </c>
      <c r="K848">
        <v>1469689</v>
      </c>
      <c r="L848">
        <v>507894</v>
      </c>
      <c r="M848">
        <v>36824</v>
      </c>
      <c r="N848">
        <v>2501</v>
      </c>
    </row>
    <row r="849" spans="1:20" x14ac:dyDescent="0.2">
      <c r="A849" s="22">
        <v>45774</v>
      </c>
      <c r="B849">
        <v>71115</v>
      </c>
      <c r="C849">
        <v>25156</v>
      </c>
      <c r="D849">
        <v>46206</v>
      </c>
      <c r="E849">
        <v>95</v>
      </c>
      <c r="F849">
        <v>8713825</v>
      </c>
      <c r="G849">
        <v>119173</v>
      </c>
      <c r="H849">
        <v>2149</v>
      </c>
      <c r="I849">
        <v>31904</v>
      </c>
      <c r="J849">
        <v>16872388</v>
      </c>
      <c r="K849">
        <v>2946006</v>
      </c>
      <c r="L849">
        <v>1030717</v>
      </c>
      <c r="M849">
        <v>36679</v>
      </c>
      <c r="N849">
        <v>2149</v>
      </c>
    </row>
    <row r="850" spans="1:20" x14ac:dyDescent="0.2">
      <c r="A850" s="22">
        <v>45775</v>
      </c>
      <c r="B850">
        <v>74470</v>
      </c>
      <c r="C850">
        <v>28940</v>
      </c>
      <c r="D850">
        <v>41463</v>
      </c>
      <c r="E850">
        <v>136</v>
      </c>
      <c r="F850">
        <v>13455192</v>
      </c>
      <c r="G850">
        <v>253138</v>
      </c>
      <c r="H850">
        <v>3345</v>
      </c>
      <c r="I850">
        <v>59743</v>
      </c>
      <c r="J850">
        <v>32932850</v>
      </c>
      <c r="K850">
        <v>5028349</v>
      </c>
      <c r="L850">
        <v>1187013</v>
      </c>
      <c r="M850">
        <v>63334</v>
      </c>
      <c r="N850">
        <v>3345</v>
      </c>
    </row>
    <row r="851" spans="1:20" x14ac:dyDescent="0.2">
      <c r="A851" s="22">
        <v>45776</v>
      </c>
      <c r="B851">
        <v>77899</v>
      </c>
      <c r="C851">
        <v>29597</v>
      </c>
      <c r="D851">
        <v>51785</v>
      </c>
      <c r="E851">
        <v>155</v>
      </c>
      <c r="F851">
        <v>10919019</v>
      </c>
      <c r="G851">
        <v>167255</v>
      </c>
      <c r="H851">
        <v>2258</v>
      </c>
      <c r="I851">
        <v>44773</v>
      </c>
      <c r="J851">
        <v>32082306</v>
      </c>
      <c r="K851">
        <v>4429673</v>
      </c>
      <c r="L851">
        <v>1368842</v>
      </c>
      <c r="M851">
        <v>50853</v>
      </c>
      <c r="N851">
        <v>2258</v>
      </c>
    </row>
    <row r="852" spans="1:20" x14ac:dyDescent="0.2">
      <c r="A852" s="22">
        <v>45777</v>
      </c>
      <c r="B852">
        <v>79993</v>
      </c>
      <c r="C852">
        <v>41844</v>
      </c>
      <c r="D852">
        <v>61820</v>
      </c>
      <c r="E852">
        <v>83</v>
      </c>
      <c r="F852">
        <v>11122200</v>
      </c>
      <c r="G852">
        <v>208155</v>
      </c>
      <c r="H852">
        <v>3376</v>
      </c>
      <c r="I852">
        <v>50175</v>
      </c>
      <c r="J852">
        <v>31433982</v>
      </c>
      <c r="K852">
        <v>4647072</v>
      </c>
      <c r="L852">
        <v>1380376</v>
      </c>
      <c r="M852">
        <v>40873</v>
      </c>
      <c r="N852">
        <v>3376</v>
      </c>
    </row>
    <row r="853" spans="1:20" x14ac:dyDescent="0.2">
      <c r="A853" s="22">
        <v>45778</v>
      </c>
      <c r="B853">
        <v>72258</v>
      </c>
      <c r="C853">
        <v>31761</v>
      </c>
      <c r="D853">
        <v>37083</v>
      </c>
      <c r="E853">
        <v>150</v>
      </c>
      <c r="F853">
        <v>13727985</v>
      </c>
      <c r="G853">
        <v>372344</v>
      </c>
      <c r="H853">
        <v>5391</v>
      </c>
      <c r="I853">
        <v>65301</v>
      </c>
      <c r="J853">
        <v>27889796</v>
      </c>
      <c r="K853">
        <v>4341852</v>
      </c>
      <c r="L853">
        <v>1239268</v>
      </c>
      <c r="M853">
        <v>40589</v>
      </c>
      <c r="N853">
        <v>5391</v>
      </c>
    </row>
    <row r="854" spans="1:20" x14ac:dyDescent="0.2">
      <c r="A854" s="22">
        <v>45779</v>
      </c>
      <c r="B854">
        <v>73467</v>
      </c>
      <c r="C854">
        <v>36832</v>
      </c>
      <c r="D854">
        <v>38236</v>
      </c>
      <c r="E854">
        <v>68</v>
      </c>
      <c r="F854">
        <v>9242235</v>
      </c>
      <c r="G854">
        <v>183366</v>
      </c>
      <c r="H854">
        <v>2630</v>
      </c>
      <c r="I854">
        <v>49235</v>
      </c>
      <c r="J854">
        <v>31333741</v>
      </c>
      <c r="K854">
        <v>3893464</v>
      </c>
      <c r="L854">
        <v>1586214</v>
      </c>
      <c r="M854">
        <v>42159</v>
      </c>
      <c r="N854">
        <v>2630</v>
      </c>
    </row>
    <row r="855" spans="1:20" x14ac:dyDescent="0.2">
      <c r="A855" s="22">
        <v>45780</v>
      </c>
      <c r="B855">
        <v>78150</v>
      </c>
      <c r="C855">
        <v>42889</v>
      </c>
      <c r="D855">
        <v>57932</v>
      </c>
      <c r="E855">
        <v>130</v>
      </c>
      <c r="F855">
        <v>10233824</v>
      </c>
      <c r="G855">
        <v>207500</v>
      </c>
      <c r="H855">
        <v>2518</v>
      </c>
      <c r="I855">
        <v>47557</v>
      </c>
      <c r="J855">
        <v>27176520</v>
      </c>
      <c r="K855">
        <v>3402329</v>
      </c>
      <c r="L855">
        <v>1015696</v>
      </c>
      <c r="M855">
        <v>43236</v>
      </c>
      <c r="N855">
        <v>2518</v>
      </c>
    </row>
    <row r="856" spans="1:20" x14ac:dyDescent="0.2">
      <c r="A856" s="22">
        <v>45781</v>
      </c>
      <c r="B856">
        <v>75809</v>
      </c>
      <c r="C856">
        <v>29326</v>
      </c>
      <c r="D856">
        <v>39385</v>
      </c>
      <c r="E856">
        <v>67</v>
      </c>
      <c r="F856">
        <v>5343712</v>
      </c>
      <c r="G856">
        <v>119073</v>
      </c>
      <c r="H856">
        <v>2577</v>
      </c>
      <c r="I856">
        <v>29158</v>
      </c>
      <c r="J856">
        <v>27483109</v>
      </c>
      <c r="K856">
        <v>3149900</v>
      </c>
      <c r="L856">
        <v>1025239</v>
      </c>
      <c r="M856">
        <v>35695</v>
      </c>
      <c r="N856">
        <v>2577</v>
      </c>
    </row>
    <row r="857" spans="1:20" x14ac:dyDescent="0.2">
      <c r="A857" s="22">
        <v>45782</v>
      </c>
      <c r="B857">
        <v>76868</v>
      </c>
      <c r="C857">
        <v>41393</v>
      </c>
      <c r="D857">
        <v>55703</v>
      </c>
      <c r="E857">
        <v>153</v>
      </c>
      <c r="F857">
        <v>13319798</v>
      </c>
      <c r="G857">
        <v>225221</v>
      </c>
      <c r="H857">
        <v>3428</v>
      </c>
      <c r="I857">
        <v>69859</v>
      </c>
      <c r="J857">
        <v>28391063</v>
      </c>
      <c r="K857">
        <v>3790305</v>
      </c>
      <c r="L857">
        <v>1269550</v>
      </c>
      <c r="M857">
        <v>42820</v>
      </c>
      <c r="N857">
        <v>3428</v>
      </c>
    </row>
    <row r="858" spans="1:20" x14ac:dyDescent="0.2">
      <c r="A858" s="22">
        <v>45783</v>
      </c>
      <c r="B858">
        <v>79266</v>
      </c>
      <c r="C858">
        <v>27928</v>
      </c>
      <c r="D858">
        <v>53303</v>
      </c>
      <c r="E858">
        <v>93</v>
      </c>
      <c r="F858">
        <v>16985943</v>
      </c>
      <c r="G858">
        <v>249871</v>
      </c>
      <c r="H858">
        <v>3612</v>
      </c>
      <c r="I858">
        <v>77903</v>
      </c>
      <c r="J858">
        <v>36968431</v>
      </c>
      <c r="K858">
        <v>3922736</v>
      </c>
      <c r="L858">
        <v>1137871</v>
      </c>
      <c r="M858">
        <v>52632</v>
      </c>
      <c r="N858">
        <v>3612</v>
      </c>
    </row>
    <row r="859" spans="1:20" x14ac:dyDescent="0.2">
      <c r="A859" s="22">
        <v>45784</v>
      </c>
      <c r="B859">
        <v>71356</v>
      </c>
      <c r="C859">
        <v>28996</v>
      </c>
      <c r="D859">
        <v>39817</v>
      </c>
      <c r="E859">
        <v>134</v>
      </c>
      <c r="F859">
        <v>13550820</v>
      </c>
      <c r="G859">
        <v>232751</v>
      </c>
      <c r="H859">
        <v>3397</v>
      </c>
      <c r="I859">
        <v>69257</v>
      </c>
      <c r="J859">
        <v>28294661</v>
      </c>
      <c r="K859">
        <v>4016662</v>
      </c>
      <c r="L859">
        <v>1434730</v>
      </c>
      <c r="M859">
        <v>55676</v>
      </c>
      <c r="N859">
        <v>3397</v>
      </c>
    </row>
    <row r="860" spans="1:20" x14ac:dyDescent="0.2">
      <c r="A860" s="22">
        <v>45785</v>
      </c>
      <c r="B860">
        <v>66714</v>
      </c>
      <c r="C860">
        <v>30232</v>
      </c>
      <c r="D860">
        <v>37999</v>
      </c>
      <c r="E860">
        <v>177</v>
      </c>
      <c r="F860">
        <v>11826817</v>
      </c>
      <c r="G860">
        <v>211946</v>
      </c>
      <c r="H860">
        <v>2573</v>
      </c>
      <c r="I860">
        <v>57771</v>
      </c>
      <c r="J860">
        <v>28192833</v>
      </c>
      <c r="K860">
        <v>4058044</v>
      </c>
      <c r="L860">
        <v>1370247</v>
      </c>
      <c r="M860">
        <v>46289</v>
      </c>
      <c r="N860">
        <v>2573</v>
      </c>
      <c r="O860">
        <v>11113640</v>
      </c>
      <c r="P860">
        <v>152263</v>
      </c>
      <c r="Q860">
        <v>544779</v>
      </c>
      <c r="R860">
        <v>12262</v>
      </c>
      <c r="S860">
        <v>3051</v>
      </c>
      <c r="T860">
        <v>4854</v>
      </c>
    </row>
    <row r="861" spans="1:20" x14ac:dyDescent="0.2">
      <c r="A861" s="22">
        <v>45786</v>
      </c>
      <c r="B861">
        <v>65152</v>
      </c>
      <c r="C861">
        <v>25640</v>
      </c>
      <c r="D861">
        <v>44475</v>
      </c>
      <c r="E861">
        <v>166</v>
      </c>
      <c r="F861">
        <v>13288863</v>
      </c>
      <c r="G861">
        <v>253526</v>
      </c>
      <c r="H861">
        <v>3365</v>
      </c>
      <c r="I861">
        <v>56225</v>
      </c>
      <c r="J861">
        <v>24886463</v>
      </c>
      <c r="K861">
        <v>3748901</v>
      </c>
      <c r="L861">
        <v>1063194</v>
      </c>
      <c r="M861">
        <v>43465</v>
      </c>
      <c r="N861">
        <v>3365</v>
      </c>
      <c r="O861">
        <v>8595288</v>
      </c>
      <c r="P861">
        <v>108335</v>
      </c>
      <c r="Q861">
        <v>380938</v>
      </c>
      <c r="R861">
        <v>15162</v>
      </c>
      <c r="S861">
        <v>3002</v>
      </c>
      <c r="T861">
        <v>4918</v>
      </c>
    </row>
    <row r="862" spans="1:20" x14ac:dyDescent="0.2">
      <c r="A862" s="22">
        <v>45787</v>
      </c>
      <c r="B862">
        <v>65620</v>
      </c>
      <c r="C862">
        <v>35427</v>
      </c>
      <c r="D862">
        <v>33105</v>
      </c>
      <c r="E862">
        <v>139</v>
      </c>
      <c r="F862">
        <v>10368017</v>
      </c>
      <c r="G862">
        <v>222813</v>
      </c>
      <c r="H862">
        <v>3085</v>
      </c>
      <c r="I862">
        <v>64615</v>
      </c>
      <c r="J862">
        <v>19011243</v>
      </c>
      <c r="K862">
        <v>3377316</v>
      </c>
      <c r="L862">
        <v>1011674</v>
      </c>
      <c r="M862">
        <v>57121</v>
      </c>
      <c r="N862">
        <v>3085</v>
      </c>
      <c r="O862">
        <v>9232159</v>
      </c>
      <c r="P862">
        <v>107003</v>
      </c>
      <c r="Q862">
        <v>598155</v>
      </c>
      <c r="R862">
        <v>12765</v>
      </c>
      <c r="S862">
        <v>6060</v>
      </c>
      <c r="T862">
        <v>4676</v>
      </c>
    </row>
    <row r="863" spans="1:20" x14ac:dyDescent="0.2">
      <c r="A863" s="22">
        <v>45788</v>
      </c>
      <c r="B863">
        <v>68400</v>
      </c>
      <c r="C863">
        <v>36787</v>
      </c>
      <c r="D863">
        <v>54445</v>
      </c>
      <c r="E863">
        <v>157</v>
      </c>
      <c r="F863">
        <v>8437783</v>
      </c>
      <c r="G863">
        <v>168580</v>
      </c>
      <c r="H863">
        <v>2418</v>
      </c>
      <c r="I863">
        <v>39063</v>
      </c>
      <c r="J863">
        <v>21978730</v>
      </c>
      <c r="K863">
        <v>3307894</v>
      </c>
      <c r="L863">
        <v>1146552</v>
      </c>
      <c r="M863">
        <v>40551</v>
      </c>
      <c r="N863">
        <v>2418</v>
      </c>
      <c r="O863">
        <v>8063663</v>
      </c>
      <c r="P863">
        <v>108506</v>
      </c>
      <c r="Q863">
        <v>504361</v>
      </c>
      <c r="R863">
        <v>10394</v>
      </c>
      <c r="S863">
        <v>2895</v>
      </c>
      <c r="T863">
        <v>4500</v>
      </c>
    </row>
    <row r="864" spans="1:20" x14ac:dyDescent="0.2">
      <c r="A864" s="22">
        <v>45789</v>
      </c>
      <c r="B864">
        <v>69948</v>
      </c>
      <c r="C864">
        <v>28067</v>
      </c>
      <c r="D864">
        <v>36615</v>
      </c>
      <c r="E864">
        <v>93</v>
      </c>
      <c r="F864">
        <v>12211648</v>
      </c>
      <c r="G864">
        <v>199421</v>
      </c>
      <c r="H864">
        <v>1964</v>
      </c>
      <c r="I864">
        <v>49337</v>
      </c>
      <c r="J864">
        <v>29657054</v>
      </c>
      <c r="K864">
        <v>3238820</v>
      </c>
      <c r="L864">
        <v>903753</v>
      </c>
      <c r="M864">
        <v>45533</v>
      </c>
      <c r="N864">
        <v>1964</v>
      </c>
      <c r="O864">
        <v>8867935</v>
      </c>
      <c r="P864">
        <v>86724</v>
      </c>
      <c r="Q864">
        <v>423640</v>
      </c>
      <c r="R864">
        <v>8788</v>
      </c>
      <c r="S864">
        <v>2869</v>
      </c>
      <c r="T864">
        <v>3877</v>
      </c>
    </row>
    <row r="865" spans="1:20" x14ac:dyDescent="0.2">
      <c r="A865" s="22">
        <v>45790</v>
      </c>
      <c r="B865">
        <v>67433</v>
      </c>
      <c r="C865">
        <v>36176</v>
      </c>
      <c r="D865">
        <v>48726</v>
      </c>
      <c r="E865">
        <v>99</v>
      </c>
      <c r="F865">
        <v>11164598</v>
      </c>
      <c r="G865">
        <v>157514</v>
      </c>
      <c r="H865">
        <v>1959</v>
      </c>
      <c r="I865">
        <v>47087</v>
      </c>
      <c r="J865">
        <v>19514323</v>
      </c>
      <c r="K865">
        <v>2998360</v>
      </c>
      <c r="L865">
        <v>946019</v>
      </c>
      <c r="M865">
        <v>46225</v>
      </c>
      <c r="N865">
        <v>1959</v>
      </c>
      <c r="O865">
        <v>10540275</v>
      </c>
      <c r="P865">
        <v>90981</v>
      </c>
      <c r="Q865">
        <v>674551</v>
      </c>
      <c r="R865">
        <v>9926</v>
      </c>
      <c r="S865">
        <v>3558</v>
      </c>
      <c r="T865">
        <v>2695</v>
      </c>
    </row>
    <row r="866" spans="1:20" x14ac:dyDescent="0.2">
      <c r="A866" s="22">
        <v>45791</v>
      </c>
      <c r="B866">
        <v>69142</v>
      </c>
      <c r="C866">
        <v>31262</v>
      </c>
      <c r="D866">
        <v>51145</v>
      </c>
      <c r="E866">
        <v>65</v>
      </c>
      <c r="F866">
        <v>11738389</v>
      </c>
      <c r="G866">
        <v>199440</v>
      </c>
      <c r="H866">
        <v>2538</v>
      </c>
      <c r="I866">
        <v>54510</v>
      </c>
      <c r="J866">
        <v>22819391</v>
      </c>
      <c r="K866">
        <v>3364342</v>
      </c>
      <c r="L866">
        <v>923149</v>
      </c>
      <c r="M866">
        <v>49453</v>
      </c>
      <c r="N866">
        <v>2538</v>
      </c>
      <c r="O866">
        <v>9645520</v>
      </c>
      <c r="P866">
        <v>103657</v>
      </c>
      <c r="Q866">
        <v>701015</v>
      </c>
      <c r="R866">
        <v>10773</v>
      </c>
      <c r="S866">
        <v>4435</v>
      </c>
      <c r="T866">
        <v>2518</v>
      </c>
    </row>
    <row r="867" spans="1:20" x14ac:dyDescent="0.2">
      <c r="A867" s="22">
        <v>45792</v>
      </c>
      <c r="B867">
        <v>74892</v>
      </c>
      <c r="C867">
        <v>28836</v>
      </c>
      <c r="D867">
        <v>45882</v>
      </c>
      <c r="E867">
        <v>107</v>
      </c>
      <c r="F867">
        <v>13338409</v>
      </c>
      <c r="G867">
        <v>196850</v>
      </c>
      <c r="H867">
        <v>2379</v>
      </c>
      <c r="I867">
        <v>52474</v>
      </c>
      <c r="J867">
        <v>0</v>
      </c>
      <c r="K867">
        <v>0</v>
      </c>
      <c r="L867">
        <v>0</v>
      </c>
      <c r="M867">
        <v>0</v>
      </c>
      <c r="N867">
        <v>2379</v>
      </c>
      <c r="O867">
        <v>8737515</v>
      </c>
      <c r="P867">
        <v>87968</v>
      </c>
      <c r="Q867">
        <v>540395</v>
      </c>
      <c r="R867">
        <v>13260</v>
      </c>
      <c r="S867">
        <v>4037</v>
      </c>
      <c r="T867">
        <v>2625</v>
      </c>
    </row>
    <row r="868" spans="1:20" x14ac:dyDescent="0.2">
      <c r="A868" s="22">
        <v>45793</v>
      </c>
      <c r="B868">
        <v>78597</v>
      </c>
      <c r="C868">
        <v>28895</v>
      </c>
      <c r="D868">
        <v>44881</v>
      </c>
      <c r="E868">
        <v>87</v>
      </c>
      <c r="F868">
        <v>9809058</v>
      </c>
      <c r="G868">
        <v>196198</v>
      </c>
      <c r="H868">
        <v>2984</v>
      </c>
      <c r="I868">
        <v>50755</v>
      </c>
      <c r="J868">
        <v>0</v>
      </c>
      <c r="K868">
        <v>0</v>
      </c>
      <c r="L868">
        <v>0</v>
      </c>
      <c r="M868">
        <v>0</v>
      </c>
      <c r="N868">
        <v>2984</v>
      </c>
      <c r="O868">
        <v>10065101</v>
      </c>
      <c r="P868">
        <v>98872</v>
      </c>
      <c r="Q868">
        <v>448687</v>
      </c>
      <c r="R868">
        <v>12151</v>
      </c>
      <c r="S868">
        <v>2990</v>
      </c>
      <c r="T868">
        <v>2716</v>
      </c>
    </row>
    <row r="869" spans="1:20" x14ac:dyDescent="0.2">
      <c r="A869" s="22">
        <v>45794</v>
      </c>
      <c r="B869">
        <v>76517</v>
      </c>
      <c r="C869">
        <v>31639</v>
      </c>
      <c r="D869">
        <v>58108</v>
      </c>
      <c r="E869">
        <v>93</v>
      </c>
      <c r="F869">
        <v>6624159</v>
      </c>
      <c r="G869">
        <v>156342</v>
      </c>
      <c r="H869">
        <v>2418</v>
      </c>
      <c r="I869">
        <v>64132</v>
      </c>
      <c r="J869">
        <v>0</v>
      </c>
      <c r="K869">
        <v>0</v>
      </c>
      <c r="L869">
        <v>0</v>
      </c>
      <c r="M869">
        <v>0</v>
      </c>
      <c r="N869">
        <v>2418</v>
      </c>
      <c r="O869">
        <v>10149816</v>
      </c>
      <c r="P869">
        <v>84348</v>
      </c>
      <c r="Q869">
        <v>407742</v>
      </c>
      <c r="R869">
        <v>7047</v>
      </c>
      <c r="S869">
        <v>2253</v>
      </c>
      <c r="T869">
        <v>2508</v>
      </c>
    </row>
    <row r="870" spans="1:20" x14ac:dyDescent="0.2">
      <c r="A870" s="22">
        <v>45795</v>
      </c>
      <c r="B870">
        <v>66907</v>
      </c>
      <c r="C870">
        <v>35056</v>
      </c>
      <c r="D870">
        <v>37218</v>
      </c>
      <c r="E870">
        <v>122</v>
      </c>
      <c r="F870">
        <v>1841235</v>
      </c>
      <c r="G870">
        <v>38526</v>
      </c>
      <c r="H870">
        <v>979</v>
      </c>
      <c r="I870">
        <v>16230</v>
      </c>
      <c r="J870">
        <v>0</v>
      </c>
      <c r="K870">
        <v>0</v>
      </c>
      <c r="L870">
        <v>0</v>
      </c>
      <c r="M870">
        <v>0</v>
      </c>
      <c r="N870">
        <v>979</v>
      </c>
      <c r="O870">
        <v>5908480</v>
      </c>
      <c r="P870">
        <v>60984</v>
      </c>
      <c r="Q870">
        <v>238646</v>
      </c>
      <c r="R870">
        <v>8253</v>
      </c>
      <c r="S870">
        <v>1728</v>
      </c>
      <c r="T870">
        <v>2145</v>
      </c>
    </row>
    <row r="871" spans="1:20" x14ac:dyDescent="0.2">
      <c r="A871" s="22">
        <v>45796</v>
      </c>
      <c r="B871">
        <v>71636</v>
      </c>
      <c r="C871">
        <v>32965</v>
      </c>
      <c r="D871">
        <v>50248</v>
      </c>
      <c r="E871">
        <v>103</v>
      </c>
      <c r="F871">
        <v>6269180</v>
      </c>
      <c r="G871">
        <v>162698</v>
      </c>
      <c r="H871">
        <v>1612</v>
      </c>
      <c r="I871">
        <v>48103</v>
      </c>
      <c r="J871">
        <v>0</v>
      </c>
      <c r="K871">
        <v>0</v>
      </c>
      <c r="L871">
        <v>0</v>
      </c>
      <c r="M871">
        <v>0</v>
      </c>
      <c r="N871">
        <v>1612</v>
      </c>
      <c r="O871">
        <v>9696032</v>
      </c>
      <c r="P871">
        <v>113354</v>
      </c>
      <c r="Q871">
        <v>593204</v>
      </c>
      <c r="R871">
        <v>11238</v>
      </c>
      <c r="S871">
        <v>3031</v>
      </c>
      <c r="T871">
        <v>2733</v>
      </c>
    </row>
    <row r="872" spans="1:20" x14ac:dyDescent="0.2">
      <c r="A872" s="22">
        <v>45797</v>
      </c>
      <c r="B872">
        <v>69612</v>
      </c>
      <c r="C872">
        <v>28289</v>
      </c>
      <c r="D872">
        <v>35153</v>
      </c>
      <c r="E872">
        <v>95</v>
      </c>
      <c r="F872">
        <v>6222748</v>
      </c>
      <c r="G872">
        <v>150876</v>
      </c>
      <c r="H872">
        <v>1941</v>
      </c>
      <c r="I872">
        <v>47720</v>
      </c>
      <c r="J872">
        <v>0</v>
      </c>
      <c r="K872">
        <v>0</v>
      </c>
      <c r="L872">
        <v>0</v>
      </c>
      <c r="M872">
        <v>0</v>
      </c>
      <c r="N872">
        <v>1941</v>
      </c>
      <c r="O872">
        <v>9767979</v>
      </c>
      <c r="P872">
        <v>129506</v>
      </c>
      <c r="Q872">
        <v>621563</v>
      </c>
      <c r="R872">
        <v>11601</v>
      </c>
      <c r="S872">
        <v>3456</v>
      </c>
      <c r="T872">
        <v>2580</v>
      </c>
    </row>
    <row r="873" spans="1:20" x14ac:dyDescent="0.2">
      <c r="A873" s="22">
        <v>45798</v>
      </c>
      <c r="B873">
        <v>65298</v>
      </c>
      <c r="C873">
        <v>25085</v>
      </c>
      <c r="D873">
        <v>36956</v>
      </c>
      <c r="E873">
        <v>74</v>
      </c>
      <c r="F873">
        <v>5066641</v>
      </c>
      <c r="G873">
        <v>107590</v>
      </c>
      <c r="H873">
        <v>1634</v>
      </c>
      <c r="I873">
        <v>37481</v>
      </c>
      <c r="J873">
        <v>0</v>
      </c>
      <c r="K873">
        <v>0</v>
      </c>
      <c r="L873">
        <v>0</v>
      </c>
      <c r="M873">
        <v>0</v>
      </c>
      <c r="N873">
        <v>1634</v>
      </c>
      <c r="O873">
        <v>9647788</v>
      </c>
      <c r="P873">
        <v>86763</v>
      </c>
      <c r="Q873">
        <v>488685</v>
      </c>
      <c r="R873">
        <v>10327</v>
      </c>
      <c r="S873">
        <v>2134</v>
      </c>
      <c r="T873">
        <v>2123</v>
      </c>
    </row>
    <row r="874" spans="1:20" x14ac:dyDescent="0.2">
      <c r="A874" s="22">
        <v>45799</v>
      </c>
      <c r="B874">
        <v>70059</v>
      </c>
      <c r="C874">
        <v>29979</v>
      </c>
      <c r="D874">
        <v>52216</v>
      </c>
      <c r="E874">
        <v>109</v>
      </c>
      <c r="F874">
        <v>4704423</v>
      </c>
      <c r="G874">
        <v>111467</v>
      </c>
      <c r="H874">
        <v>1398</v>
      </c>
      <c r="I874">
        <v>36122</v>
      </c>
      <c r="J874">
        <v>0</v>
      </c>
      <c r="K874">
        <v>0</v>
      </c>
      <c r="L874">
        <v>0</v>
      </c>
      <c r="M874">
        <v>0</v>
      </c>
      <c r="N874">
        <v>1398</v>
      </c>
      <c r="O874">
        <v>19723341</v>
      </c>
      <c r="P874">
        <v>108361</v>
      </c>
      <c r="Q874">
        <v>647581</v>
      </c>
      <c r="R874">
        <v>17078</v>
      </c>
      <c r="S874">
        <v>2526</v>
      </c>
      <c r="T874">
        <v>2096</v>
      </c>
    </row>
    <row r="875" spans="1:20" x14ac:dyDescent="0.2">
      <c r="A875" s="22">
        <v>45800</v>
      </c>
      <c r="B875">
        <v>77653</v>
      </c>
      <c r="C875">
        <v>31841</v>
      </c>
      <c r="D875">
        <v>44087</v>
      </c>
      <c r="E875">
        <v>174</v>
      </c>
      <c r="F875">
        <v>6761066</v>
      </c>
      <c r="G875">
        <v>146971</v>
      </c>
      <c r="H875">
        <v>1714</v>
      </c>
      <c r="I875">
        <v>42038</v>
      </c>
      <c r="J875">
        <v>0</v>
      </c>
      <c r="K875">
        <v>0</v>
      </c>
      <c r="L875">
        <v>0</v>
      </c>
      <c r="M875">
        <v>0</v>
      </c>
      <c r="N875">
        <v>1714</v>
      </c>
      <c r="O875">
        <v>27052837</v>
      </c>
      <c r="P875">
        <v>153379</v>
      </c>
      <c r="Q875">
        <v>858395</v>
      </c>
      <c r="R875">
        <v>18878</v>
      </c>
      <c r="S875">
        <v>3685</v>
      </c>
      <c r="T875">
        <v>1220</v>
      </c>
    </row>
    <row r="876" spans="1:20" x14ac:dyDescent="0.2">
      <c r="A876" s="22">
        <v>45801</v>
      </c>
      <c r="B876">
        <v>78073</v>
      </c>
      <c r="C876">
        <v>28453</v>
      </c>
      <c r="D876">
        <v>59731</v>
      </c>
      <c r="E876">
        <v>149</v>
      </c>
      <c r="F876">
        <v>5343659</v>
      </c>
      <c r="G876">
        <v>105592</v>
      </c>
      <c r="H876">
        <v>1343</v>
      </c>
      <c r="I876">
        <v>27583</v>
      </c>
      <c r="J876">
        <v>0</v>
      </c>
      <c r="K876">
        <v>0</v>
      </c>
      <c r="L876">
        <v>0</v>
      </c>
      <c r="M876">
        <v>0</v>
      </c>
      <c r="N876">
        <v>1343</v>
      </c>
      <c r="O876">
        <v>10138424</v>
      </c>
      <c r="P876">
        <v>81667</v>
      </c>
      <c r="Q876">
        <v>437674</v>
      </c>
      <c r="R876">
        <v>7591</v>
      </c>
      <c r="S876">
        <v>2566</v>
      </c>
      <c r="T876">
        <v>2294</v>
      </c>
    </row>
    <row r="877" spans="1:20" x14ac:dyDescent="0.2">
      <c r="A877" s="22">
        <v>45802</v>
      </c>
      <c r="B877">
        <v>74514</v>
      </c>
      <c r="C877">
        <v>40513</v>
      </c>
      <c r="D877">
        <v>47438</v>
      </c>
      <c r="E877">
        <v>61</v>
      </c>
      <c r="F877">
        <v>2103494</v>
      </c>
      <c r="G877">
        <v>43071</v>
      </c>
      <c r="H877">
        <v>931</v>
      </c>
      <c r="I877">
        <v>14683</v>
      </c>
      <c r="J877">
        <v>0</v>
      </c>
      <c r="K877">
        <v>0</v>
      </c>
      <c r="L877">
        <v>0</v>
      </c>
      <c r="M877">
        <v>0</v>
      </c>
      <c r="N877">
        <v>931</v>
      </c>
      <c r="O877">
        <v>6738188</v>
      </c>
      <c r="P877">
        <v>75931</v>
      </c>
      <c r="Q877">
        <v>424411</v>
      </c>
      <c r="R877">
        <v>4817</v>
      </c>
      <c r="S877">
        <v>2441</v>
      </c>
      <c r="T877">
        <v>1750</v>
      </c>
    </row>
    <row r="878" spans="1:20" x14ac:dyDescent="0.2">
      <c r="A878" s="22">
        <v>45803</v>
      </c>
      <c r="B878">
        <v>68252</v>
      </c>
      <c r="C878">
        <v>29567</v>
      </c>
      <c r="D878">
        <v>52103</v>
      </c>
      <c r="E878">
        <v>98</v>
      </c>
      <c r="F878">
        <v>5218503</v>
      </c>
      <c r="G878">
        <v>95838</v>
      </c>
      <c r="H878">
        <v>1286</v>
      </c>
      <c r="I878">
        <v>37717</v>
      </c>
      <c r="J878">
        <v>0</v>
      </c>
      <c r="K878">
        <v>0</v>
      </c>
      <c r="L878">
        <v>0</v>
      </c>
      <c r="M878">
        <v>0</v>
      </c>
      <c r="N878">
        <v>1286</v>
      </c>
      <c r="O878">
        <v>10891657</v>
      </c>
      <c r="P878">
        <v>140525</v>
      </c>
      <c r="Q878">
        <v>773715</v>
      </c>
      <c r="R878">
        <v>11562</v>
      </c>
      <c r="S878">
        <v>3964</v>
      </c>
      <c r="T878">
        <v>2143</v>
      </c>
    </row>
    <row r="879" spans="1:20" x14ac:dyDescent="0.2">
      <c r="A879" s="22">
        <v>45804</v>
      </c>
      <c r="B879">
        <v>74469</v>
      </c>
      <c r="C879">
        <v>33298</v>
      </c>
      <c r="D879">
        <v>53328</v>
      </c>
      <c r="E879">
        <v>156</v>
      </c>
      <c r="F879">
        <v>6271504</v>
      </c>
      <c r="G879">
        <v>121268</v>
      </c>
      <c r="H879">
        <v>1865</v>
      </c>
      <c r="I879">
        <v>40764</v>
      </c>
      <c r="J879">
        <v>0</v>
      </c>
      <c r="K879">
        <v>0</v>
      </c>
      <c r="L879">
        <v>0</v>
      </c>
      <c r="M879">
        <v>0</v>
      </c>
      <c r="N879">
        <v>1865</v>
      </c>
      <c r="O879">
        <v>9151914</v>
      </c>
      <c r="P879">
        <v>134462</v>
      </c>
      <c r="Q879">
        <v>586900</v>
      </c>
      <c r="R879">
        <v>9390</v>
      </c>
      <c r="S879">
        <v>2929</v>
      </c>
      <c r="T879">
        <v>1855</v>
      </c>
    </row>
    <row r="880" spans="1:20" x14ac:dyDescent="0.2">
      <c r="A880" s="22">
        <v>45805</v>
      </c>
      <c r="B880">
        <v>69368</v>
      </c>
      <c r="C880">
        <v>37433</v>
      </c>
      <c r="D880">
        <v>40823</v>
      </c>
      <c r="E880">
        <v>101</v>
      </c>
      <c r="F880">
        <v>9950765</v>
      </c>
      <c r="G880">
        <v>186553</v>
      </c>
      <c r="H880">
        <v>2161</v>
      </c>
      <c r="I880">
        <v>51865</v>
      </c>
      <c r="J880">
        <v>0</v>
      </c>
      <c r="K880">
        <v>0</v>
      </c>
      <c r="L880">
        <v>0</v>
      </c>
      <c r="M880">
        <v>0</v>
      </c>
      <c r="N880">
        <v>2161</v>
      </c>
      <c r="O880">
        <v>6963165</v>
      </c>
      <c r="P880">
        <v>93376</v>
      </c>
      <c r="Q880">
        <v>357962</v>
      </c>
      <c r="R880">
        <v>8210</v>
      </c>
      <c r="S880">
        <v>9008</v>
      </c>
      <c r="T880">
        <v>2064</v>
      </c>
    </row>
    <row r="881" spans="1:20" x14ac:dyDescent="0.2">
      <c r="A881" s="22">
        <v>45806</v>
      </c>
      <c r="B881">
        <v>77197</v>
      </c>
      <c r="C881">
        <v>38971</v>
      </c>
      <c r="D881">
        <v>39546</v>
      </c>
      <c r="E881">
        <v>137</v>
      </c>
      <c r="F881">
        <v>12512941</v>
      </c>
      <c r="G881">
        <v>198773</v>
      </c>
      <c r="H881">
        <v>3063</v>
      </c>
      <c r="I881">
        <v>52696</v>
      </c>
      <c r="J881">
        <v>0</v>
      </c>
      <c r="K881">
        <v>0</v>
      </c>
      <c r="L881">
        <v>0</v>
      </c>
      <c r="M881">
        <v>0</v>
      </c>
      <c r="N881">
        <v>3063</v>
      </c>
      <c r="O881">
        <v>7188540</v>
      </c>
      <c r="P881">
        <v>84955</v>
      </c>
      <c r="Q881">
        <v>436345</v>
      </c>
      <c r="R881">
        <v>11375</v>
      </c>
      <c r="S881">
        <v>2902</v>
      </c>
      <c r="T881">
        <v>2163</v>
      </c>
    </row>
    <row r="882" spans="1:20" x14ac:dyDescent="0.2">
      <c r="A882" s="22">
        <v>45807</v>
      </c>
      <c r="B882">
        <v>67067</v>
      </c>
      <c r="C882">
        <v>30031</v>
      </c>
      <c r="D882">
        <v>51346</v>
      </c>
      <c r="E882">
        <v>100</v>
      </c>
      <c r="F882">
        <v>8126537</v>
      </c>
      <c r="G882">
        <v>140317</v>
      </c>
      <c r="H882">
        <v>2115</v>
      </c>
      <c r="I882">
        <v>44694</v>
      </c>
      <c r="J882">
        <v>0</v>
      </c>
      <c r="K882">
        <v>0</v>
      </c>
      <c r="L882">
        <v>0</v>
      </c>
      <c r="M882">
        <v>0</v>
      </c>
      <c r="N882">
        <v>2115</v>
      </c>
      <c r="O882">
        <v>5468187</v>
      </c>
      <c r="P882">
        <v>76546</v>
      </c>
      <c r="Q882">
        <v>306161</v>
      </c>
      <c r="R882">
        <v>8264</v>
      </c>
      <c r="S882">
        <v>3410</v>
      </c>
      <c r="T882">
        <v>2356</v>
      </c>
    </row>
    <row r="883" spans="1:20" x14ac:dyDescent="0.2">
      <c r="A883" s="22">
        <v>45808</v>
      </c>
      <c r="B883">
        <v>69028</v>
      </c>
      <c r="C883">
        <v>30381</v>
      </c>
      <c r="D883">
        <v>49295</v>
      </c>
      <c r="E883">
        <v>117</v>
      </c>
      <c r="F883">
        <v>9343496</v>
      </c>
      <c r="G883">
        <v>180143</v>
      </c>
      <c r="H883">
        <v>2678</v>
      </c>
      <c r="I883">
        <v>47936</v>
      </c>
      <c r="J883">
        <v>0</v>
      </c>
      <c r="K883">
        <v>0</v>
      </c>
      <c r="L883">
        <v>0</v>
      </c>
      <c r="M883">
        <v>0</v>
      </c>
      <c r="N883">
        <v>2678</v>
      </c>
      <c r="O883">
        <v>5083388</v>
      </c>
      <c r="P883">
        <v>70788</v>
      </c>
      <c r="Q883">
        <v>262656</v>
      </c>
      <c r="R883">
        <v>6898</v>
      </c>
      <c r="S883">
        <v>2309</v>
      </c>
      <c r="T883">
        <v>2881</v>
      </c>
    </row>
    <row r="884" spans="1:20" x14ac:dyDescent="0.2">
      <c r="A884" s="22">
        <v>45809</v>
      </c>
      <c r="B884">
        <v>75135</v>
      </c>
      <c r="C884">
        <v>27715</v>
      </c>
      <c r="D884">
        <v>50076</v>
      </c>
      <c r="E884">
        <v>84</v>
      </c>
      <c r="F884">
        <v>6414639</v>
      </c>
      <c r="G884">
        <v>103011</v>
      </c>
      <c r="H884">
        <v>2135</v>
      </c>
      <c r="I884">
        <v>31091</v>
      </c>
      <c r="J884">
        <v>0</v>
      </c>
      <c r="K884">
        <v>0</v>
      </c>
      <c r="L884">
        <v>0</v>
      </c>
      <c r="M884">
        <v>0</v>
      </c>
      <c r="N884">
        <v>2135</v>
      </c>
      <c r="O884">
        <v>3574074</v>
      </c>
      <c r="P884">
        <v>45794</v>
      </c>
      <c r="Q884">
        <v>169834</v>
      </c>
      <c r="R884">
        <v>5706</v>
      </c>
      <c r="S884">
        <v>1445</v>
      </c>
      <c r="T884">
        <v>2699</v>
      </c>
    </row>
    <row r="885" spans="1:20" x14ac:dyDescent="0.2">
      <c r="A885" s="22">
        <v>45810</v>
      </c>
      <c r="B885">
        <v>74559</v>
      </c>
      <c r="C885">
        <v>37387</v>
      </c>
      <c r="D885">
        <v>58617</v>
      </c>
      <c r="E885">
        <v>98</v>
      </c>
      <c r="F885">
        <v>8900574</v>
      </c>
      <c r="G885">
        <v>127024</v>
      </c>
      <c r="H885">
        <v>2196</v>
      </c>
      <c r="I885">
        <v>46053</v>
      </c>
      <c r="J885">
        <v>0</v>
      </c>
      <c r="K885">
        <v>0</v>
      </c>
      <c r="L885">
        <v>0</v>
      </c>
      <c r="M885">
        <v>0</v>
      </c>
      <c r="N885">
        <v>2196</v>
      </c>
      <c r="O885">
        <v>4665450</v>
      </c>
      <c r="P885">
        <v>62401</v>
      </c>
      <c r="Q885">
        <v>281239</v>
      </c>
      <c r="R885">
        <v>5470</v>
      </c>
      <c r="S885">
        <v>2436</v>
      </c>
      <c r="T885">
        <v>2507</v>
      </c>
    </row>
    <row r="886" spans="1:20" x14ac:dyDescent="0.2">
      <c r="A886" s="22">
        <v>45811</v>
      </c>
      <c r="B886">
        <v>79634</v>
      </c>
      <c r="C886">
        <v>35345</v>
      </c>
      <c r="D886">
        <v>46374</v>
      </c>
      <c r="E886">
        <v>76</v>
      </c>
      <c r="F886">
        <v>12663064</v>
      </c>
      <c r="G886">
        <v>166952</v>
      </c>
      <c r="H886">
        <v>1485</v>
      </c>
      <c r="I886">
        <v>71916</v>
      </c>
      <c r="J886">
        <v>0</v>
      </c>
      <c r="K886">
        <v>0</v>
      </c>
      <c r="L886">
        <v>0</v>
      </c>
      <c r="M886">
        <v>0</v>
      </c>
      <c r="N886">
        <v>1485</v>
      </c>
      <c r="O886">
        <v>8061559</v>
      </c>
      <c r="P886">
        <v>104034</v>
      </c>
      <c r="Q886">
        <v>410968</v>
      </c>
      <c r="R886">
        <v>11990</v>
      </c>
      <c r="S886">
        <v>4239</v>
      </c>
      <c r="T886">
        <v>2948</v>
      </c>
    </row>
    <row r="887" spans="1:20" x14ac:dyDescent="0.2">
      <c r="A887" s="22">
        <v>45812</v>
      </c>
      <c r="B887">
        <v>71345</v>
      </c>
      <c r="C887">
        <v>29596</v>
      </c>
      <c r="D887">
        <v>39407</v>
      </c>
      <c r="E887">
        <v>82</v>
      </c>
      <c r="F887">
        <v>13728895</v>
      </c>
      <c r="G887">
        <v>173863</v>
      </c>
      <c r="H887">
        <v>2282</v>
      </c>
      <c r="I887">
        <v>74702</v>
      </c>
      <c r="J887">
        <v>0</v>
      </c>
      <c r="K887">
        <v>0</v>
      </c>
      <c r="L887">
        <v>0</v>
      </c>
      <c r="M887">
        <v>0</v>
      </c>
      <c r="N887">
        <v>2282</v>
      </c>
      <c r="O887">
        <v>6969226</v>
      </c>
      <c r="P887">
        <v>89376</v>
      </c>
      <c r="Q887">
        <v>351580</v>
      </c>
      <c r="R887">
        <v>7257</v>
      </c>
      <c r="S887">
        <v>3591</v>
      </c>
      <c r="T887">
        <v>3999</v>
      </c>
    </row>
    <row r="888" spans="1:20" x14ac:dyDescent="0.2">
      <c r="A888" s="22">
        <v>45813</v>
      </c>
      <c r="B888">
        <v>72661</v>
      </c>
      <c r="C888">
        <v>39102</v>
      </c>
      <c r="D888">
        <v>56033</v>
      </c>
      <c r="E888">
        <v>122</v>
      </c>
      <c r="F888">
        <v>11179083</v>
      </c>
      <c r="G888">
        <v>158856</v>
      </c>
      <c r="H888">
        <v>2971</v>
      </c>
      <c r="I888">
        <v>58869</v>
      </c>
      <c r="J888">
        <v>0</v>
      </c>
      <c r="K888">
        <v>0</v>
      </c>
      <c r="L888">
        <v>0</v>
      </c>
      <c r="M888">
        <v>0</v>
      </c>
      <c r="N888">
        <v>2971</v>
      </c>
      <c r="O888">
        <v>8287050</v>
      </c>
      <c r="P888">
        <v>98446</v>
      </c>
      <c r="Q888">
        <v>619034</v>
      </c>
      <c r="R888">
        <v>8054</v>
      </c>
      <c r="S888">
        <v>3376</v>
      </c>
      <c r="T888">
        <v>3199</v>
      </c>
    </row>
    <row r="889" spans="1:20" x14ac:dyDescent="0.2">
      <c r="A889" s="22">
        <v>45814</v>
      </c>
      <c r="B889">
        <v>73298</v>
      </c>
      <c r="C889">
        <v>39986</v>
      </c>
      <c r="D889">
        <v>37359</v>
      </c>
      <c r="E889">
        <v>124</v>
      </c>
      <c r="F889">
        <v>8022938</v>
      </c>
      <c r="G889">
        <v>107901</v>
      </c>
      <c r="H889">
        <v>2027</v>
      </c>
      <c r="I889">
        <v>41571</v>
      </c>
      <c r="J889">
        <v>0</v>
      </c>
      <c r="K889">
        <v>0</v>
      </c>
      <c r="L889">
        <v>0</v>
      </c>
      <c r="M889">
        <v>0</v>
      </c>
      <c r="N889">
        <v>2027</v>
      </c>
      <c r="O889">
        <v>10249664</v>
      </c>
      <c r="P889">
        <v>100455</v>
      </c>
      <c r="Q889">
        <v>498994</v>
      </c>
      <c r="R889">
        <v>8725</v>
      </c>
      <c r="S889">
        <v>2245</v>
      </c>
      <c r="T889">
        <v>2545</v>
      </c>
    </row>
    <row r="890" spans="1:20" x14ac:dyDescent="0.2">
      <c r="A890" s="22">
        <v>45815</v>
      </c>
      <c r="B890">
        <v>71485</v>
      </c>
      <c r="C890">
        <v>36390</v>
      </c>
      <c r="D890">
        <v>46883</v>
      </c>
      <c r="E890">
        <v>151</v>
      </c>
      <c r="F890">
        <v>11363512</v>
      </c>
      <c r="G890">
        <v>134935</v>
      </c>
      <c r="H890">
        <v>2006</v>
      </c>
      <c r="I890">
        <v>58629</v>
      </c>
      <c r="J890">
        <v>0</v>
      </c>
      <c r="K890">
        <v>0</v>
      </c>
      <c r="L890">
        <v>0</v>
      </c>
      <c r="M890">
        <v>0</v>
      </c>
      <c r="N890">
        <v>2006</v>
      </c>
      <c r="O890">
        <v>6678279</v>
      </c>
      <c r="P890">
        <v>75996</v>
      </c>
      <c r="Q890">
        <v>291880</v>
      </c>
      <c r="R890">
        <v>9131</v>
      </c>
      <c r="S890">
        <v>1832</v>
      </c>
      <c r="T890">
        <v>2406</v>
      </c>
    </row>
    <row r="891" spans="1:20" x14ac:dyDescent="0.2">
      <c r="A891" s="22">
        <v>45816</v>
      </c>
      <c r="B891">
        <v>75567</v>
      </c>
      <c r="C891">
        <v>39239</v>
      </c>
      <c r="D891">
        <v>40291</v>
      </c>
      <c r="E891">
        <v>126</v>
      </c>
      <c r="F891">
        <v>6802003</v>
      </c>
      <c r="G891">
        <v>98092</v>
      </c>
      <c r="H891">
        <v>1503</v>
      </c>
      <c r="I891">
        <v>38508</v>
      </c>
      <c r="J891">
        <v>0</v>
      </c>
      <c r="K891">
        <v>0</v>
      </c>
      <c r="L891">
        <v>0</v>
      </c>
      <c r="M891">
        <v>0</v>
      </c>
      <c r="N891">
        <v>1503</v>
      </c>
      <c r="O891">
        <v>7049970</v>
      </c>
      <c r="P891">
        <v>68367</v>
      </c>
      <c r="Q891">
        <v>338602</v>
      </c>
      <c r="R891">
        <v>8310</v>
      </c>
      <c r="S891">
        <v>2769</v>
      </c>
      <c r="T891">
        <v>2557</v>
      </c>
    </row>
    <row r="892" spans="1:20" x14ac:dyDescent="0.2">
      <c r="A892" s="22">
        <v>45817</v>
      </c>
      <c r="B892">
        <v>79482</v>
      </c>
      <c r="C892">
        <v>41106</v>
      </c>
      <c r="D892">
        <v>51835</v>
      </c>
      <c r="E892">
        <v>172</v>
      </c>
      <c r="F892">
        <v>10243885</v>
      </c>
      <c r="G892">
        <v>153894</v>
      </c>
      <c r="H892">
        <v>2580</v>
      </c>
      <c r="I892">
        <v>45771</v>
      </c>
      <c r="J892">
        <v>0</v>
      </c>
      <c r="K892">
        <v>0</v>
      </c>
      <c r="L892">
        <v>0</v>
      </c>
      <c r="M892">
        <v>0</v>
      </c>
      <c r="N892">
        <v>2580</v>
      </c>
      <c r="O892">
        <v>5958443</v>
      </c>
      <c r="P892">
        <v>70294</v>
      </c>
      <c r="Q892">
        <v>300586</v>
      </c>
      <c r="R892">
        <v>5978</v>
      </c>
      <c r="S892">
        <v>4829</v>
      </c>
      <c r="T892">
        <v>2596</v>
      </c>
    </row>
    <row r="893" spans="1:20" x14ac:dyDescent="0.2">
      <c r="A893" s="22">
        <v>45818</v>
      </c>
      <c r="B893">
        <v>68227</v>
      </c>
      <c r="C893">
        <v>32477</v>
      </c>
      <c r="D893">
        <v>39731</v>
      </c>
      <c r="E893">
        <v>98</v>
      </c>
      <c r="F893">
        <v>7772013</v>
      </c>
      <c r="G893">
        <v>131910</v>
      </c>
      <c r="H893">
        <v>2213</v>
      </c>
      <c r="I893">
        <v>40997</v>
      </c>
      <c r="J893">
        <v>0</v>
      </c>
      <c r="K893">
        <v>0</v>
      </c>
      <c r="L893">
        <v>0</v>
      </c>
      <c r="M893">
        <v>0</v>
      </c>
      <c r="N893">
        <v>2213</v>
      </c>
      <c r="O893">
        <v>4811656</v>
      </c>
      <c r="P893">
        <v>53462</v>
      </c>
      <c r="Q893">
        <v>234900</v>
      </c>
      <c r="R893">
        <v>6128</v>
      </c>
      <c r="S893">
        <v>2305</v>
      </c>
      <c r="T893">
        <v>2268</v>
      </c>
    </row>
    <row r="894" spans="1:20" x14ac:dyDescent="0.2">
      <c r="A894" s="22">
        <v>45819</v>
      </c>
      <c r="B894">
        <v>69495</v>
      </c>
      <c r="C894">
        <v>27801</v>
      </c>
      <c r="D894">
        <v>38385</v>
      </c>
      <c r="E894">
        <v>146</v>
      </c>
      <c r="F894">
        <v>9161156</v>
      </c>
      <c r="G894">
        <v>134474</v>
      </c>
      <c r="H894">
        <v>2693</v>
      </c>
      <c r="I894">
        <v>46284</v>
      </c>
      <c r="J894">
        <v>0</v>
      </c>
      <c r="K894">
        <v>0</v>
      </c>
      <c r="L894">
        <v>0</v>
      </c>
      <c r="M894">
        <v>0</v>
      </c>
      <c r="N894">
        <v>2693</v>
      </c>
      <c r="O894">
        <v>6022273</v>
      </c>
      <c r="P894">
        <v>102366</v>
      </c>
      <c r="Q894">
        <v>314041</v>
      </c>
      <c r="R894">
        <v>5786</v>
      </c>
      <c r="S894">
        <v>1607</v>
      </c>
      <c r="T894">
        <v>2396</v>
      </c>
    </row>
    <row r="895" spans="1:20" x14ac:dyDescent="0.2">
      <c r="A895" s="22">
        <v>45820</v>
      </c>
      <c r="B895">
        <v>66896</v>
      </c>
      <c r="C895">
        <v>36176</v>
      </c>
      <c r="D895">
        <v>40026</v>
      </c>
      <c r="E895">
        <v>132</v>
      </c>
      <c r="F895">
        <v>9792763</v>
      </c>
      <c r="G895">
        <v>138459</v>
      </c>
      <c r="H895">
        <v>2594</v>
      </c>
      <c r="I895">
        <v>47824</v>
      </c>
      <c r="J895">
        <v>0</v>
      </c>
      <c r="K895">
        <v>0</v>
      </c>
      <c r="L895">
        <v>0</v>
      </c>
      <c r="M895">
        <v>0</v>
      </c>
      <c r="N895">
        <v>2594</v>
      </c>
      <c r="O895">
        <v>7532446</v>
      </c>
      <c r="P895">
        <v>78994</v>
      </c>
      <c r="Q895">
        <v>381132</v>
      </c>
      <c r="R895">
        <v>5060</v>
      </c>
      <c r="S895">
        <v>2282</v>
      </c>
      <c r="T895">
        <v>2213</v>
      </c>
    </row>
    <row r="896" spans="1:20" x14ac:dyDescent="0.2">
      <c r="A896" s="22">
        <v>45821</v>
      </c>
      <c r="B896">
        <v>75207</v>
      </c>
      <c r="C896">
        <v>36789</v>
      </c>
      <c r="D896">
        <v>54662</v>
      </c>
      <c r="E896">
        <v>101</v>
      </c>
      <c r="F896">
        <v>12503346</v>
      </c>
      <c r="G896">
        <v>206082</v>
      </c>
      <c r="H896">
        <v>3477</v>
      </c>
      <c r="I896">
        <v>50699</v>
      </c>
      <c r="J896">
        <v>0</v>
      </c>
      <c r="K896">
        <v>0</v>
      </c>
      <c r="L896">
        <v>0</v>
      </c>
      <c r="M896">
        <v>0</v>
      </c>
      <c r="N896">
        <v>3477</v>
      </c>
      <c r="O896">
        <v>5826981</v>
      </c>
      <c r="P896">
        <v>86446</v>
      </c>
      <c r="Q896">
        <v>400689</v>
      </c>
      <c r="R896">
        <v>7648</v>
      </c>
      <c r="S896">
        <v>3712</v>
      </c>
      <c r="T896">
        <v>2108</v>
      </c>
    </row>
    <row r="897" spans="1:20" x14ac:dyDescent="0.2">
      <c r="A897" s="22">
        <v>45822</v>
      </c>
      <c r="B897">
        <v>74142</v>
      </c>
      <c r="C897">
        <v>32016</v>
      </c>
      <c r="D897">
        <v>40388</v>
      </c>
      <c r="E897">
        <v>71</v>
      </c>
      <c r="F897">
        <v>5807381</v>
      </c>
      <c r="G897">
        <v>92807</v>
      </c>
      <c r="H897">
        <v>1721</v>
      </c>
      <c r="I897">
        <v>34278</v>
      </c>
      <c r="J897">
        <v>0</v>
      </c>
      <c r="K897">
        <v>0</v>
      </c>
      <c r="L897">
        <v>0</v>
      </c>
      <c r="M897">
        <v>0</v>
      </c>
      <c r="N897">
        <v>1721</v>
      </c>
      <c r="O897">
        <v>7368312</v>
      </c>
      <c r="P897">
        <v>92222</v>
      </c>
      <c r="Q897">
        <v>397150</v>
      </c>
      <c r="R897">
        <v>7661</v>
      </c>
      <c r="S897">
        <v>3523</v>
      </c>
      <c r="T897">
        <v>2379</v>
      </c>
    </row>
    <row r="898" spans="1:20" x14ac:dyDescent="0.2">
      <c r="A898" s="22">
        <v>45823</v>
      </c>
      <c r="B898">
        <v>69644</v>
      </c>
      <c r="C898">
        <v>35880</v>
      </c>
      <c r="D898">
        <v>37146</v>
      </c>
      <c r="E898">
        <v>127</v>
      </c>
      <c r="F898">
        <v>4208968</v>
      </c>
      <c r="G898">
        <v>94455</v>
      </c>
      <c r="H898">
        <v>1286</v>
      </c>
      <c r="I898">
        <v>23149</v>
      </c>
      <c r="J898">
        <v>0</v>
      </c>
      <c r="K898">
        <v>0</v>
      </c>
      <c r="L898">
        <v>0</v>
      </c>
      <c r="M898">
        <v>0</v>
      </c>
      <c r="N898">
        <v>1286</v>
      </c>
      <c r="O898">
        <v>5129054</v>
      </c>
      <c r="P898">
        <v>60953</v>
      </c>
      <c r="Q898">
        <v>248477</v>
      </c>
      <c r="R898">
        <v>5905</v>
      </c>
      <c r="S898">
        <v>1976</v>
      </c>
      <c r="T898">
        <v>2144</v>
      </c>
    </row>
    <row r="899" spans="1:20" x14ac:dyDescent="0.2">
      <c r="A899" s="22">
        <v>45824</v>
      </c>
      <c r="B899">
        <v>65285</v>
      </c>
      <c r="C899">
        <v>27892</v>
      </c>
      <c r="D899">
        <v>50259</v>
      </c>
      <c r="E899">
        <v>75</v>
      </c>
      <c r="F899">
        <v>11238685</v>
      </c>
      <c r="G899">
        <v>159732</v>
      </c>
      <c r="H899">
        <v>2457</v>
      </c>
      <c r="I899">
        <v>53731</v>
      </c>
      <c r="J899">
        <v>0</v>
      </c>
      <c r="K899">
        <v>0</v>
      </c>
      <c r="L899">
        <v>0</v>
      </c>
      <c r="M899">
        <v>0</v>
      </c>
      <c r="N899">
        <v>2457</v>
      </c>
      <c r="O899">
        <v>4994132</v>
      </c>
      <c r="P899">
        <v>68100</v>
      </c>
      <c r="Q899">
        <v>277901</v>
      </c>
      <c r="R899">
        <v>4313</v>
      </c>
      <c r="S899">
        <v>1479</v>
      </c>
      <c r="T899">
        <v>2272</v>
      </c>
    </row>
    <row r="900" spans="1:20" x14ac:dyDescent="0.2">
      <c r="A900" s="22">
        <v>45825</v>
      </c>
      <c r="B900">
        <v>78189</v>
      </c>
      <c r="C900">
        <v>36225</v>
      </c>
      <c r="D900">
        <v>54059</v>
      </c>
      <c r="E900">
        <v>141</v>
      </c>
      <c r="F900">
        <v>10246395</v>
      </c>
      <c r="G900">
        <v>144879</v>
      </c>
      <c r="H900">
        <v>2612</v>
      </c>
      <c r="I900">
        <v>45704</v>
      </c>
      <c r="J900">
        <v>0</v>
      </c>
      <c r="K900">
        <v>0</v>
      </c>
      <c r="L900">
        <v>0</v>
      </c>
      <c r="M900">
        <v>0</v>
      </c>
      <c r="N900">
        <v>2612</v>
      </c>
      <c r="O900">
        <v>5837202</v>
      </c>
      <c r="P900">
        <v>80481</v>
      </c>
      <c r="Q900">
        <v>370525</v>
      </c>
      <c r="R900">
        <v>7308</v>
      </c>
      <c r="S900">
        <v>2587</v>
      </c>
      <c r="T900">
        <v>2161</v>
      </c>
    </row>
    <row r="901" spans="1:20" x14ac:dyDescent="0.2">
      <c r="A901" s="22">
        <v>45826</v>
      </c>
      <c r="B901">
        <v>77114</v>
      </c>
      <c r="C901">
        <v>38533</v>
      </c>
      <c r="D901">
        <v>56523</v>
      </c>
      <c r="E901">
        <v>173</v>
      </c>
      <c r="F901">
        <v>12469215</v>
      </c>
      <c r="G901">
        <v>170758</v>
      </c>
      <c r="H901">
        <v>2681</v>
      </c>
      <c r="I901">
        <v>55325</v>
      </c>
      <c r="J901">
        <v>0</v>
      </c>
      <c r="K901">
        <v>0</v>
      </c>
      <c r="L901">
        <v>0</v>
      </c>
      <c r="M901">
        <v>0</v>
      </c>
      <c r="N901">
        <v>2681</v>
      </c>
      <c r="O901">
        <v>6973938</v>
      </c>
      <c r="P901">
        <v>92615</v>
      </c>
      <c r="Q901">
        <v>556416</v>
      </c>
      <c r="R901">
        <v>9460</v>
      </c>
      <c r="S901">
        <v>4412</v>
      </c>
      <c r="T901">
        <v>2299</v>
      </c>
    </row>
    <row r="902" spans="1:20" x14ac:dyDescent="0.2">
      <c r="A902" s="22">
        <v>45827</v>
      </c>
      <c r="B902">
        <v>78827</v>
      </c>
      <c r="C902">
        <v>35599</v>
      </c>
      <c r="D902">
        <v>43331</v>
      </c>
      <c r="E902">
        <v>179</v>
      </c>
      <c r="F902">
        <v>8845238</v>
      </c>
      <c r="G902">
        <v>150484</v>
      </c>
      <c r="H902">
        <v>2033</v>
      </c>
      <c r="I902">
        <v>39513</v>
      </c>
      <c r="J902">
        <v>0</v>
      </c>
      <c r="K902">
        <v>0</v>
      </c>
      <c r="L902">
        <v>0</v>
      </c>
      <c r="M902">
        <v>0</v>
      </c>
      <c r="N902">
        <v>2033</v>
      </c>
      <c r="O902">
        <v>9213697</v>
      </c>
      <c r="P902">
        <v>93963</v>
      </c>
      <c r="Q902">
        <v>434412</v>
      </c>
      <c r="R902">
        <v>8975</v>
      </c>
      <c r="S902">
        <v>3469</v>
      </c>
      <c r="T902">
        <v>2571</v>
      </c>
    </row>
    <row r="903" spans="1:20" x14ac:dyDescent="0.2">
      <c r="A903" s="22">
        <v>45828</v>
      </c>
      <c r="B903">
        <v>65870</v>
      </c>
      <c r="C903">
        <v>23184</v>
      </c>
      <c r="D903">
        <v>48619</v>
      </c>
      <c r="E903">
        <v>139</v>
      </c>
      <c r="F903">
        <v>8306250</v>
      </c>
      <c r="G903">
        <v>129307</v>
      </c>
      <c r="H903">
        <v>1695</v>
      </c>
      <c r="I903">
        <v>37191</v>
      </c>
      <c r="J903">
        <v>0</v>
      </c>
      <c r="K903">
        <v>0</v>
      </c>
      <c r="L903">
        <v>0</v>
      </c>
      <c r="M903">
        <v>0</v>
      </c>
      <c r="N903">
        <v>1695</v>
      </c>
      <c r="O903">
        <v>9331595</v>
      </c>
      <c r="P903">
        <v>134734</v>
      </c>
      <c r="Q903">
        <v>457021</v>
      </c>
      <c r="R903">
        <v>9537</v>
      </c>
      <c r="S903">
        <v>4659</v>
      </c>
      <c r="T903">
        <v>2493</v>
      </c>
    </row>
    <row r="904" spans="1:20" x14ac:dyDescent="0.2">
      <c r="A904" s="22">
        <v>45829</v>
      </c>
      <c r="B904">
        <v>71600</v>
      </c>
      <c r="C904">
        <v>27468</v>
      </c>
      <c r="D904">
        <v>40276</v>
      </c>
      <c r="E904">
        <v>82</v>
      </c>
      <c r="F904">
        <v>8634235</v>
      </c>
      <c r="G904">
        <v>108653</v>
      </c>
      <c r="H904">
        <v>1833</v>
      </c>
      <c r="I904">
        <v>36465</v>
      </c>
      <c r="J904">
        <v>0</v>
      </c>
      <c r="K904">
        <v>0</v>
      </c>
      <c r="L904">
        <v>0</v>
      </c>
      <c r="M904">
        <v>0</v>
      </c>
      <c r="N904">
        <v>1833</v>
      </c>
      <c r="O904">
        <v>5719700</v>
      </c>
      <c r="P904">
        <v>66946</v>
      </c>
      <c r="Q904">
        <v>255655</v>
      </c>
      <c r="R904">
        <v>5449</v>
      </c>
      <c r="S904">
        <v>2735</v>
      </c>
      <c r="T904">
        <v>2167</v>
      </c>
    </row>
    <row r="905" spans="1:20" x14ac:dyDescent="0.2">
      <c r="A905" s="22">
        <v>45830</v>
      </c>
      <c r="B905">
        <v>79095</v>
      </c>
      <c r="C905">
        <v>28663</v>
      </c>
      <c r="D905">
        <v>42549</v>
      </c>
      <c r="E905">
        <v>63</v>
      </c>
      <c r="F905">
        <v>3105532</v>
      </c>
      <c r="G905">
        <v>34692</v>
      </c>
      <c r="H905">
        <v>1117</v>
      </c>
      <c r="I905">
        <v>14610</v>
      </c>
      <c r="J905">
        <v>0</v>
      </c>
      <c r="K905">
        <v>0</v>
      </c>
      <c r="L905">
        <v>0</v>
      </c>
      <c r="M905">
        <v>0</v>
      </c>
      <c r="N905">
        <v>1117</v>
      </c>
      <c r="O905">
        <v>5519538</v>
      </c>
      <c r="P905">
        <v>48535</v>
      </c>
      <c r="Q905">
        <v>224726</v>
      </c>
      <c r="R905">
        <v>5503</v>
      </c>
      <c r="S905">
        <v>2212</v>
      </c>
      <c r="T905">
        <v>2119</v>
      </c>
    </row>
    <row r="906" spans="1:20" x14ac:dyDescent="0.2">
      <c r="A906" s="22">
        <v>45831</v>
      </c>
      <c r="B906">
        <v>70287</v>
      </c>
      <c r="C906">
        <v>35996</v>
      </c>
      <c r="D906">
        <v>52633</v>
      </c>
      <c r="E906">
        <v>60</v>
      </c>
      <c r="F906">
        <v>9765297</v>
      </c>
      <c r="G906">
        <v>139675</v>
      </c>
      <c r="H906">
        <v>1721</v>
      </c>
      <c r="I906">
        <v>39842</v>
      </c>
      <c r="J906">
        <v>0</v>
      </c>
      <c r="K906">
        <v>0</v>
      </c>
      <c r="L906">
        <v>0</v>
      </c>
      <c r="M906">
        <v>0</v>
      </c>
      <c r="N906">
        <v>1721</v>
      </c>
      <c r="O906">
        <v>7039567</v>
      </c>
      <c r="P906">
        <v>81220</v>
      </c>
      <c r="Q906">
        <v>554821</v>
      </c>
      <c r="R906">
        <v>6319</v>
      </c>
      <c r="S906">
        <v>7924</v>
      </c>
      <c r="T906">
        <v>2372</v>
      </c>
    </row>
    <row r="907" spans="1:20" x14ac:dyDescent="0.2">
      <c r="A907" s="22">
        <v>45832</v>
      </c>
      <c r="B907">
        <v>68323</v>
      </c>
      <c r="C907">
        <v>33084</v>
      </c>
      <c r="D907">
        <v>34338</v>
      </c>
      <c r="E907">
        <v>100</v>
      </c>
      <c r="F907">
        <v>7265770</v>
      </c>
      <c r="G907">
        <v>125381</v>
      </c>
      <c r="H907">
        <v>2288</v>
      </c>
      <c r="I907">
        <v>36883</v>
      </c>
      <c r="J907">
        <v>0</v>
      </c>
      <c r="K907">
        <v>0</v>
      </c>
      <c r="L907">
        <v>0</v>
      </c>
      <c r="M907">
        <v>0</v>
      </c>
      <c r="N907">
        <v>2288</v>
      </c>
      <c r="O907">
        <v>6570415</v>
      </c>
      <c r="P907">
        <v>70029</v>
      </c>
      <c r="Q907">
        <v>406832</v>
      </c>
      <c r="R907">
        <v>5481</v>
      </c>
      <c r="S907">
        <v>3085</v>
      </c>
      <c r="T907">
        <v>2261</v>
      </c>
    </row>
    <row r="908" spans="1:20" x14ac:dyDescent="0.2">
      <c r="A908" s="22">
        <v>45833</v>
      </c>
      <c r="B908">
        <v>72975</v>
      </c>
      <c r="C908">
        <v>38023</v>
      </c>
      <c r="D908">
        <v>49281</v>
      </c>
      <c r="E908">
        <v>164</v>
      </c>
      <c r="F908">
        <v>7827620</v>
      </c>
      <c r="G908">
        <v>131387</v>
      </c>
      <c r="H908">
        <v>2319</v>
      </c>
      <c r="I908">
        <v>34136</v>
      </c>
      <c r="J908">
        <v>0</v>
      </c>
      <c r="K908">
        <v>0</v>
      </c>
      <c r="L908">
        <v>0</v>
      </c>
      <c r="M908">
        <v>0</v>
      </c>
      <c r="N908">
        <v>2319</v>
      </c>
      <c r="O908">
        <v>6676660</v>
      </c>
      <c r="P908">
        <v>91523</v>
      </c>
      <c r="Q908">
        <v>384654</v>
      </c>
      <c r="R908">
        <v>4932</v>
      </c>
      <c r="S908">
        <v>3016</v>
      </c>
      <c r="T908">
        <v>2534</v>
      </c>
    </row>
    <row r="909" spans="1:20" x14ac:dyDescent="0.2">
      <c r="A909" s="22">
        <v>45834</v>
      </c>
      <c r="B909">
        <v>78988</v>
      </c>
      <c r="C909">
        <v>40103</v>
      </c>
      <c r="D909">
        <v>62541</v>
      </c>
      <c r="E909">
        <v>145</v>
      </c>
      <c r="F909">
        <v>6641664</v>
      </c>
      <c r="G909">
        <v>93090</v>
      </c>
      <c r="H909">
        <v>1768</v>
      </c>
      <c r="I909">
        <v>33216</v>
      </c>
      <c r="J909">
        <v>0</v>
      </c>
      <c r="K909">
        <v>0</v>
      </c>
      <c r="L909">
        <v>0</v>
      </c>
      <c r="M909">
        <v>0</v>
      </c>
      <c r="N909">
        <v>1768</v>
      </c>
      <c r="O909">
        <v>7192083</v>
      </c>
      <c r="P909">
        <v>91746</v>
      </c>
      <c r="Q909">
        <v>404156</v>
      </c>
      <c r="R909">
        <v>6112</v>
      </c>
      <c r="S909">
        <v>4995</v>
      </c>
      <c r="T909">
        <v>2467</v>
      </c>
    </row>
    <row r="910" spans="1:20" x14ac:dyDescent="0.2">
      <c r="A910" s="22">
        <v>45835</v>
      </c>
      <c r="B910">
        <v>69605</v>
      </c>
      <c r="C910">
        <v>34933</v>
      </c>
      <c r="D910">
        <v>44478</v>
      </c>
      <c r="E910">
        <v>74</v>
      </c>
      <c r="F910">
        <v>11113802</v>
      </c>
      <c r="G910">
        <v>148703</v>
      </c>
      <c r="H910">
        <v>2678</v>
      </c>
      <c r="I910">
        <v>39893</v>
      </c>
      <c r="J910">
        <v>0</v>
      </c>
      <c r="K910">
        <v>0</v>
      </c>
      <c r="L910">
        <v>0</v>
      </c>
      <c r="M910">
        <v>0</v>
      </c>
      <c r="N910">
        <v>2678</v>
      </c>
      <c r="O910">
        <v>6859210</v>
      </c>
      <c r="P910">
        <v>88293</v>
      </c>
      <c r="Q910">
        <v>333418</v>
      </c>
      <c r="R910">
        <v>5738</v>
      </c>
      <c r="S910">
        <v>3457</v>
      </c>
      <c r="T910">
        <v>2463</v>
      </c>
    </row>
    <row r="911" spans="1:20" x14ac:dyDescent="0.2">
      <c r="A911" s="22">
        <v>45836</v>
      </c>
      <c r="B911">
        <v>72740</v>
      </c>
      <c r="C911">
        <v>33093</v>
      </c>
      <c r="D911">
        <v>38117</v>
      </c>
      <c r="E911">
        <v>71</v>
      </c>
      <c r="F911">
        <v>10125804</v>
      </c>
      <c r="G911">
        <v>176479</v>
      </c>
      <c r="H911">
        <v>4082</v>
      </c>
      <c r="I911">
        <v>52838</v>
      </c>
      <c r="J911">
        <v>0</v>
      </c>
      <c r="K911">
        <v>0</v>
      </c>
      <c r="L911">
        <v>0</v>
      </c>
      <c r="M911">
        <v>0</v>
      </c>
      <c r="N911">
        <v>4082</v>
      </c>
      <c r="O911">
        <v>4138871</v>
      </c>
      <c r="P911">
        <v>52004</v>
      </c>
      <c r="Q911">
        <v>192656</v>
      </c>
      <c r="R911">
        <v>3787</v>
      </c>
      <c r="S911">
        <v>1475</v>
      </c>
      <c r="T911">
        <v>3057</v>
      </c>
    </row>
    <row r="912" spans="1:20" x14ac:dyDescent="0.2">
      <c r="A912" s="22">
        <v>45837</v>
      </c>
      <c r="B912">
        <v>69500</v>
      </c>
      <c r="C912">
        <v>29200</v>
      </c>
      <c r="D912">
        <v>36660</v>
      </c>
      <c r="E912">
        <v>145</v>
      </c>
      <c r="F912">
        <v>5019417</v>
      </c>
      <c r="G912">
        <v>58690</v>
      </c>
      <c r="H912">
        <v>2792</v>
      </c>
      <c r="I912">
        <v>22213</v>
      </c>
      <c r="J912">
        <v>0</v>
      </c>
      <c r="K912">
        <v>0</v>
      </c>
      <c r="L912">
        <v>0</v>
      </c>
      <c r="M912">
        <v>0</v>
      </c>
      <c r="N912">
        <v>2792</v>
      </c>
      <c r="O912">
        <v>3810437</v>
      </c>
      <c r="P912">
        <v>65820</v>
      </c>
      <c r="Q912">
        <v>290660</v>
      </c>
      <c r="R912">
        <v>2993</v>
      </c>
      <c r="S912">
        <v>5694</v>
      </c>
      <c r="T912">
        <v>2796</v>
      </c>
    </row>
    <row r="913" spans="1:20" x14ac:dyDescent="0.2">
      <c r="A913" s="22">
        <v>45838</v>
      </c>
      <c r="B913">
        <v>75968</v>
      </c>
      <c r="C913">
        <v>26629</v>
      </c>
      <c r="D913">
        <v>60324</v>
      </c>
      <c r="E913">
        <v>134</v>
      </c>
      <c r="F913">
        <v>8912875</v>
      </c>
      <c r="G913">
        <v>144333</v>
      </c>
      <c r="H913">
        <v>2338</v>
      </c>
      <c r="I913">
        <v>40397</v>
      </c>
      <c r="J913">
        <v>0</v>
      </c>
      <c r="K913">
        <v>0</v>
      </c>
      <c r="L913">
        <v>0</v>
      </c>
      <c r="M913">
        <v>0</v>
      </c>
      <c r="N913">
        <v>2338</v>
      </c>
      <c r="O913">
        <v>7661961</v>
      </c>
      <c r="P913">
        <v>100674</v>
      </c>
      <c r="Q913">
        <v>559762</v>
      </c>
      <c r="R913">
        <v>7789</v>
      </c>
      <c r="S913">
        <v>5713</v>
      </c>
      <c r="T913">
        <v>2190</v>
      </c>
    </row>
    <row r="914" spans="1:20" x14ac:dyDescent="0.2">
      <c r="A914" s="22">
        <v>45839</v>
      </c>
      <c r="B914">
        <v>77011</v>
      </c>
      <c r="C914">
        <v>37971</v>
      </c>
      <c r="D914">
        <v>46404</v>
      </c>
      <c r="E914">
        <v>111</v>
      </c>
      <c r="F914">
        <v>7701488</v>
      </c>
      <c r="G914">
        <v>111521</v>
      </c>
      <c r="H914">
        <v>2190</v>
      </c>
      <c r="I914">
        <v>34913</v>
      </c>
      <c r="J914">
        <v>0</v>
      </c>
      <c r="K914">
        <v>0</v>
      </c>
      <c r="L914">
        <v>0</v>
      </c>
      <c r="M914">
        <v>0</v>
      </c>
      <c r="N914">
        <v>2190</v>
      </c>
      <c r="O914">
        <v>10147653</v>
      </c>
      <c r="P914">
        <v>129206</v>
      </c>
      <c r="Q914">
        <v>574829</v>
      </c>
      <c r="R914">
        <v>8040</v>
      </c>
      <c r="S914">
        <v>4636</v>
      </c>
      <c r="T914">
        <v>2508</v>
      </c>
    </row>
    <row r="915" spans="1:20" x14ac:dyDescent="0.2">
      <c r="A915" s="22">
        <v>45840</v>
      </c>
      <c r="B915">
        <v>71458</v>
      </c>
      <c r="C915">
        <v>31175</v>
      </c>
      <c r="D915">
        <v>48022</v>
      </c>
      <c r="E915">
        <v>85</v>
      </c>
      <c r="F915">
        <v>7137117</v>
      </c>
      <c r="G915">
        <v>90354</v>
      </c>
      <c r="H915">
        <v>2685</v>
      </c>
      <c r="I915">
        <v>38066</v>
      </c>
      <c r="J915">
        <v>0</v>
      </c>
      <c r="K915">
        <v>0</v>
      </c>
      <c r="L915">
        <v>0</v>
      </c>
      <c r="M915">
        <v>0</v>
      </c>
      <c r="N915">
        <v>2685</v>
      </c>
      <c r="O915">
        <v>6109848</v>
      </c>
      <c r="P915">
        <v>86707</v>
      </c>
      <c r="Q915">
        <v>394116</v>
      </c>
      <c r="R915">
        <v>4841</v>
      </c>
      <c r="S915">
        <v>2849</v>
      </c>
      <c r="T915">
        <v>3218</v>
      </c>
    </row>
    <row r="916" spans="1:20" x14ac:dyDescent="0.2">
      <c r="A916" s="22">
        <v>45841</v>
      </c>
      <c r="B916">
        <v>70754</v>
      </c>
      <c r="C916">
        <v>25894</v>
      </c>
      <c r="D916">
        <v>56154</v>
      </c>
      <c r="E916">
        <v>71</v>
      </c>
      <c r="F916">
        <v>7601244</v>
      </c>
      <c r="G916">
        <v>108859</v>
      </c>
      <c r="H916">
        <v>2441</v>
      </c>
      <c r="I916">
        <v>39930</v>
      </c>
      <c r="J916">
        <v>0</v>
      </c>
      <c r="K916">
        <v>0</v>
      </c>
      <c r="L916">
        <v>0</v>
      </c>
      <c r="M916">
        <v>0</v>
      </c>
      <c r="N916">
        <v>2441</v>
      </c>
      <c r="O916">
        <v>7095979</v>
      </c>
      <c r="P916">
        <v>126483</v>
      </c>
      <c r="Q916">
        <v>431511</v>
      </c>
      <c r="R916">
        <v>4846</v>
      </c>
      <c r="S916">
        <v>6150</v>
      </c>
      <c r="T916">
        <v>2886</v>
      </c>
    </row>
    <row r="917" spans="1:20" x14ac:dyDescent="0.2">
      <c r="A917" s="22">
        <v>45842</v>
      </c>
      <c r="B917">
        <v>78634</v>
      </c>
      <c r="C917">
        <v>28362</v>
      </c>
      <c r="D917">
        <v>51178</v>
      </c>
      <c r="E917">
        <v>76</v>
      </c>
      <c r="F917">
        <v>5512407</v>
      </c>
      <c r="G917">
        <v>73920</v>
      </c>
      <c r="H917">
        <v>1588</v>
      </c>
      <c r="I917">
        <v>29076</v>
      </c>
      <c r="J917">
        <v>0</v>
      </c>
      <c r="K917">
        <v>0</v>
      </c>
      <c r="L917">
        <v>0</v>
      </c>
      <c r="M917">
        <v>0</v>
      </c>
      <c r="N917">
        <v>1588</v>
      </c>
      <c r="O917">
        <v>5705540</v>
      </c>
      <c r="P917">
        <v>77363</v>
      </c>
      <c r="Q917">
        <v>323980</v>
      </c>
      <c r="R917">
        <v>4533</v>
      </c>
      <c r="S917">
        <v>2421</v>
      </c>
      <c r="T917">
        <v>2550</v>
      </c>
    </row>
    <row r="918" spans="1:20" x14ac:dyDescent="0.2">
      <c r="A918" s="22">
        <v>45843</v>
      </c>
      <c r="B918">
        <v>68557</v>
      </c>
      <c r="C918">
        <v>31000</v>
      </c>
      <c r="D918">
        <v>44913</v>
      </c>
      <c r="E918">
        <v>72</v>
      </c>
      <c r="F918">
        <v>5406968</v>
      </c>
      <c r="G918">
        <v>77254</v>
      </c>
      <c r="H918">
        <v>1582</v>
      </c>
      <c r="I918">
        <v>36503</v>
      </c>
      <c r="J918">
        <v>0</v>
      </c>
      <c r="K918">
        <v>0</v>
      </c>
      <c r="L918">
        <v>0</v>
      </c>
      <c r="M918">
        <v>0</v>
      </c>
      <c r="N918">
        <v>1582</v>
      </c>
      <c r="O918">
        <v>5340553</v>
      </c>
      <c r="P918">
        <v>65945</v>
      </c>
      <c r="Q918">
        <v>309947</v>
      </c>
      <c r="R918">
        <v>5761</v>
      </c>
      <c r="S918">
        <v>2706</v>
      </c>
      <c r="T918">
        <v>2123</v>
      </c>
    </row>
    <row r="919" spans="1:20" x14ac:dyDescent="0.2">
      <c r="A919" s="22">
        <v>45844</v>
      </c>
      <c r="B919">
        <v>70054</v>
      </c>
      <c r="C919">
        <v>29058</v>
      </c>
      <c r="D919">
        <v>46795</v>
      </c>
      <c r="E919">
        <v>156</v>
      </c>
      <c r="F919">
        <v>2012225</v>
      </c>
      <c r="G919">
        <v>24756</v>
      </c>
      <c r="H919">
        <v>1026</v>
      </c>
      <c r="I919">
        <v>14531</v>
      </c>
      <c r="J919">
        <v>0</v>
      </c>
      <c r="K919">
        <v>0</v>
      </c>
      <c r="L919">
        <v>0</v>
      </c>
      <c r="M919">
        <v>0</v>
      </c>
      <c r="N919">
        <v>1026</v>
      </c>
      <c r="O919">
        <v>3849191</v>
      </c>
      <c r="P919">
        <v>49937</v>
      </c>
      <c r="Q919">
        <v>195741</v>
      </c>
      <c r="R919">
        <v>3384</v>
      </c>
      <c r="S919">
        <v>1246</v>
      </c>
      <c r="T919">
        <v>2315</v>
      </c>
    </row>
    <row r="920" spans="1:20" x14ac:dyDescent="0.2">
      <c r="A920" s="22">
        <v>45845</v>
      </c>
      <c r="B920">
        <v>71271</v>
      </c>
      <c r="C920">
        <v>27584</v>
      </c>
      <c r="D920">
        <v>44795</v>
      </c>
      <c r="E920">
        <v>118</v>
      </c>
      <c r="F920">
        <v>6642459</v>
      </c>
      <c r="G920">
        <v>80595</v>
      </c>
      <c r="H920">
        <v>1803</v>
      </c>
      <c r="I920">
        <v>34457</v>
      </c>
      <c r="J920">
        <v>8971376</v>
      </c>
      <c r="K920">
        <v>1049118</v>
      </c>
      <c r="L920">
        <v>307217</v>
      </c>
      <c r="M920">
        <v>18894</v>
      </c>
      <c r="N920">
        <v>1803</v>
      </c>
      <c r="O920">
        <v>6920309</v>
      </c>
      <c r="P920">
        <v>118078</v>
      </c>
      <c r="Q920">
        <v>355497</v>
      </c>
      <c r="R920">
        <v>7082</v>
      </c>
      <c r="S920">
        <v>5004</v>
      </c>
      <c r="T920">
        <v>2288</v>
      </c>
    </row>
    <row r="921" spans="1:20" x14ac:dyDescent="0.2">
      <c r="A921" s="22">
        <v>45846</v>
      </c>
      <c r="B921">
        <v>67568</v>
      </c>
      <c r="C921">
        <v>34806</v>
      </c>
      <c r="D921">
        <v>51842</v>
      </c>
      <c r="E921">
        <v>88</v>
      </c>
      <c r="F921">
        <v>7732865</v>
      </c>
      <c r="G921">
        <v>92345</v>
      </c>
      <c r="H921">
        <v>1787</v>
      </c>
      <c r="I921">
        <v>42625</v>
      </c>
      <c r="J921">
        <v>6926902</v>
      </c>
      <c r="K921">
        <v>1004523</v>
      </c>
      <c r="L921">
        <v>346781</v>
      </c>
      <c r="M921">
        <v>16873</v>
      </c>
      <c r="N921">
        <v>1787</v>
      </c>
      <c r="O921">
        <v>8436425</v>
      </c>
      <c r="P921">
        <v>122461</v>
      </c>
      <c r="Q921">
        <v>465797</v>
      </c>
      <c r="R921">
        <v>6940</v>
      </c>
      <c r="S921">
        <v>7478</v>
      </c>
      <c r="T921">
        <v>2463</v>
      </c>
    </row>
    <row r="922" spans="1:20" x14ac:dyDescent="0.2">
      <c r="A922" s="22">
        <v>45847</v>
      </c>
      <c r="B922">
        <v>65855</v>
      </c>
      <c r="C922">
        <v>32565</v>
      </c>
      <c r="D922">
        <v>50225</v>
      </c>
      <c r="E922">
        <v>63</v>
      </c>
      <c r="F922">
        <v>12071509</v>
      </c>
      <c r="G922">
        <v>153548</v>
      </c>
      <c r="H922">
        <v>2811</v>
      </c>
      <c r="I922">
        <v>52797</v>
      </c>
      <c r="J922">
        <v>6906627</v>
      </c>
      <c r="K922">
        <v>1217814</v>
      </c>
      <c r="L922">
        <v>450015</v>
      </c>
      <c r="M922">
        <v>24686</v>
      </c>
      <c r="N922">
        <v>2811</v>
      </c>
      <c r="O922">
        <v>4690704</v>
      </c>
      <c r="P922">
        <v>77407</v>
      </c>
      <c r="Q922">
        <v>325321</v>
      </c>
      <c r="R922">
        <v>4501</v>
      </c>
      <c r="S922">
        <v>3252</v>
      </c>
      <c r="T922">
        <v>2529</v>
      </c>
    </row>
    <row r="923" spans="1:20" x14ac:dyDescent="0.2">
      <c r="A923" s="22">
        <v>45848</v>
      </c>
      <c r="B923">
        <v>71813</v>
      </c>
      <c r="C923">
        <v>36619</v>
      </c>
      <c r="D923">
        <v>39272</v>
      </c>
      <c r="E923">
        <v>166</v>
      </c>
      <c r="F923">
        <v>13190472</v>
      </c>
      <c r="G923">
        <v>218128</v>
      </c>
      <c r="H923">
        <v>3815</v>
      </c>
      <c r="I923">
        <v>46923</v>
      </c>
      <c r="J923">
        <v>8905692</v>
      </c>
      <c r="K923">
        <v>1358474</v>
      </c>
      <c r="L923">
        <v>492218</v>
      </c>
      <c r="M923">
        <v>20899</v>
      </c>
      <c r="N923">
        <v>3815</v>
      </c>
      <c r="O923">
        <v>6880993</v>
      </c>
      <c r="P923">
        <v>107081</v>
      </c>
      <c r="Q923">
        <v>487114</v>
      </c>
      <c r="R923">
        <v>8434</v>
      </c>
      <c r="S923">
        <v>4946</v>
      </c>
      <c r="T923">
        <v>2356</v>
      </c>
    </row>
    <row r="924" spans="1:20" x14ac:dyDescent="0.2">
      <c r="A924" s="22">
        <v>45849</v>
      </c>
      <c r="B924">
        <v>65931</v>
      </c>
      <c r="C924">
        <v>25535</v>
      </c>
      <c r="D924">
        <v>47540</v>
      </c>
      <c r="E924">
        <v>109</v>
      </c>
      <c r="F924">
        <v>10944231</v>
      </c>
      <c r="G924">
        <v>196957</v>
      </c>
      <c r="H924">
        <v>2707</v>
      </c>
      <c r="I924">
        <v>39807</v>
      </c>
      <c r="J924">
        <v>11326558</v>
      </c>
      <c r="K924">
        <v>1280537</v>
      </c>
      <c r="L924">
        <v>373193</v>
      </c>
      <c r="M924">
        <v>19140</v>
      </c>
      <c r="N924">
        <v>2707</v>
      </c>
      <c r="O924">
        <v>5801001</v>
      </c>
      <c r="P924">
        <v>94435</v>
      </c>
      <c r="Q924">
        <v>406611</v>
      </c>
      <c r="R924">
        <v>5650</v>
      </c>
      <c r="S924">
        <v>2416</v>
      </c>
      <c r="T924">
        <v>2284</v>
      </c>
    </row>
    <row r="925" spans="1:20" x14ac:dyDescent="0.2">
      <c r="A925" s="22">
        <v>45850</v>
      </c>
      <c r="B925">
        <v>78744</v>
      </c>
      <c r="C925">
        <v>41837</v>
      </c>
      <c r="D925">
        <v>48095</v>
      </c>
      <c r="E925">
        <v>141</v>
      </c>
      <c r="F925">
        <v>9662906</v>
      </c>
      <c r="G925">
        <v>140833</v>
      </c>
      <c r="H925">
        <v>2656</v>
      </c>
      <c r="I925">
        <v>42203</v>
      </c>
      <c r="J925">
        <v>11413666</v>
      </c>
      <c r="K925">
        <v>1442564</v>
      </c>
      <c r="L925">
        <v>350533</v>
      </c>
      <c r="M925">
        <v>24973</v>
      </c>
      <c r="N925">
        <v>2656</v>
      </c>
      <c r="O925">
        <v>5779294</v>
      </c>
      <c r="P925">
        <v>74267</v>
      </c>
      <c r="Q925">
        <v>229275</v>
      </c>
      <c r="R925">
        <v>9040</v>
      </c>
      <c r="S925">
        <v>2376</v>
      </c>
      <c r="T925">
        <v>2296</v>
      </c>
    </row>
    <row r="926" spans="1:20" x14ac:dyDescent="0.2">
      <c r="A926" s="22">
        <v>45851</v>
      </c>
      <c r="B926">
        <v>76295</v>
      </c>
      <c r="C926">
        <v>33402</v>
      </c>
      <c r="D926">
        <v>44250</v>
      </c>
      <c r="E926">
        <v>155</v>
      </c>
      <c r="F926">
        <v>8008541</v>
      </c>
      <c r="G926">
        <v>114221</v>
      </c>
      <c r="H926">
        <v>3745</v>
      </c>
      <c r="I926">
        <v>47376</v>
      </c>
      <c r="J926">
        <v>9695826</v>
      </c>
      <c r="K926">
        <v>1177026</v>
      </c>
      <c r="L926">
        <v>389679</v>
      </c>
      <c r="M926">
        <v>21328</v>
      </c>
      <c r="N926">
        <v>3745</v>
      </c>
      <c r="O926">
        <v>8374783</v>
      </c>
      <c r="P926">
        <v>114680</v>
      </c>
      <c r="Q926">
        <v>267673</v>
      </c>
      <c r="R926">
        <v>9578</v>
      </c>
      <c r="S926">
        <v>5133</v>
      </c>
      <c r="T926">
        <v>3711</v>
      </c>
    </row>
    <row r="927" spans="1:20" x14ac:dyDescent="0.2">
      <c r="A927" s="22">
        <v>45852</v>
      </c>
      <c r="B927">
        <v>67668</v>
      </c>
      <c r="C927">
        <v>26761</v>
      </c>
      <c r="D927">
        <v>51303</v>
      </c>
      <c r="E927">
        <v>108</v>
      </c>
      <c r="F927">
        <v>13456367</v>
      </c>
      <c r="G927">
        <v>166500</v>
      </c>
      <c r="H927">
        <v>3001</v>
      </c>
      <c r="I927">
        <v>52432</v>
      </c>
      <c r="J927">
        <v>11359700</v>
      </c>
      <c r="K927">
        <v>1366662</v>
      </c>
      <c r="L927">
        <v>566363</v>
      </c>
      <c r="M927">
        <v>25875</v>
      </c>
      <c r="N927">
        <v>3001</v>
      </c>
      <c r="O927">
        <v>6835761</v>
      </c>
      <c r="P927">
        <v>105661</v>
      </c>
      <c r="Q927">
        <v>328200</v>
      </c>
      <c r="R927">
        <v>8941</v>
      </c>
      <c r="S927">
        <v>3427</v>
      </c>
      <c r="T927">
        <v>2961</v>
      </c>
    </row>
    <row r="928" spans="1:20" x14ac:dyDescent="0.2">
      <c r="A928" s="22">
        <v>45853</v>
      </c>
      <c r="B928">
        <v>67658</v>
      </c>
      <c r="C928">
        <v>24877</v>
      </c>
      <c r="D928">
        <v>49223</v>
      </c>
      <c r="E928">
        <v>108</v>
      </c>
      <c r="F928">
        <v>11789608</v>
      </c>
      <c r="G928">
        <v>150745</v>
      </c>
      <c r="H928">
        <v>3672</v>
      </c>
      <c r="I928">
        <v>47693</v>
      </c>
      <c r="J928">
        <v>11229860</v>
      </c>
      <c r="K928">
        <v>1544180</v>
      </c>
      <c r="L928">
        <v>530292</v>
      </c>
      <c r="M928">
        <v>22772</v>
      </c>
      <c r="N928">
        <v>3672</v>
      </c>
      <c r="O928">
        <v>4342589</v>
      </c>
      <c r="P928">
        <v>51512</v>
      </c>
      <c r="Q928">
        <v>196330</v>
      </c>
      <c r="R928">
        <v>4333</v>
      </c>
      <c r="S928">
        <v>2105</v>
      </c>
      <c r="T928">
        <v>2564</v>
      </c>
    </row>
    <row r="929" spans="1:20" x14ac:dyDescent="0.2">
      <c r="A929" s="22">
        <v>45854</v>
      </c>
      <c r="B929">
        <v>78062</v>
      </c>
      <c r="C929">
        <v>33532</v>
      </c>
      <c r="D929">
        <v>52805</v>
      </c>
      <c r="E929">
        <v>132</v>
      </c>
      <c r="F929">
        <v>8691800</v>
      </c>
      <c r="G929">
        <v>93073</v>
      </c>
      <c r="H929">
        <v>1974</v>
      </c>
      <c r="I929">
        <v>33918</v>
      </c>
      <c r="J929">
        <v>13343503</v>
      </c>
      <c r="K929">
        <v>1551344</v>
      </c>
      <c r="L929">
        <v>566045</v>
      </c>
      <c r="M929">
        <v>23051</v>
      </c>
      <c r="N929">
        <v>1974</v>
      </c>
      <c r="O929">
        <v>4384378</v>
      </c>
      <c r="P929">
        <v>84845</v>
      </c>
      <c r="Q929">
        <v>202670</v>
      </c>
      <c r="R929">
        <v>4518</v>
      </c>
      <c r="S929">
        <v>2189</v>
      </c>
      <c r="T929">
        <v>2558</v>
      </c>
    </row>
    <row r="930" spans="1:20" x14ac:dyDescent="0.2">
      <c r="A930" s="22">
        <v>45855</v>
      </c>
      <c r="B930">
        <v>69828</v>
      </c>
      <c r="C930">
        <v>26591</v>
      </c>
      <c r="D930">
        <v>51685</v>
      </c>
      <c r="E930">
        <v>106</v>
      </c>
      <c r="F930">
        <v>7570869</v>
      </c>
      <c r="G930">
        <v>94338</v>
      </c>
      <c r="H930">
        <v>1880</v>
      </c>
      <c r="I930">
        <v>35071</v>
      </c>
      <c r="J930">
        <v>10266234</v>
      </c>
      <c r="K930">
        <v>1398300</v>
      </c>
      <c r="L930">
        <v>435524</v>
      </c>
      <c r="M930">
        <v>19204</v>
      </c>
      <c r="N930">
        <v>1880</v>
      </c>
      <c r="O930">
        <v>5721700</v>
      </c>
      <c r="P930">
        <v>80516</v>
      </c>
      <c r="Q930">
        <v>223623</v>
      </c>
      <c r="R930">
        <v>13648</v>
      </c>
      <c r="S930">
        <v>2258</v>
      </c>
      <c r="T930">
        <v>2918</v>
      </c>
    </row>
    <row r="931" spans="1:20" x14ac:dyDescent="0.2">
      <c r="A931" s="22">
        <v>45856</v>
      </c>
      <c r="B931">
        <v>71083</v>
      </c>
      <c r="C931">
        <v>34686</v>
      </c>
      <c r="D931">
        <v>39515</v>
      </c>
      <c r="E931">
        <v>79</v>
      </c>
      <c r="F931">
        <v>5982718</v>
      </c>
      <c r="G931">
        <v>74577</v>
      </c>
      <c r="H931">
        <v>1406</v>
      </c>
      <c r="I931">
        <v>28999</v>
      </c>
      <c r="J931">
        <v>11325885</v>
      </c>
      <c r="K931">
        <v>1539859</v>
      </c>
      <c r="L931">
        <v>373699</v>
      </c>
      <c r="M931">
        <v>25820</v>
      </c>
      <c r="N931">
        <v>1406</v>
      </c>
      <c r="O931">
        <v>4596146</v>
      </c>
      <c r="P931">
        <v>66826</v>
      </c>
      <c r="Q931">
        <v>196624</v>
      </c>
      <c r="R931">
        <v>4855</v>
      </c>
      <c r="S931">
        <v>2265</v>
      </c>
      <c r="T931">
        <v>2337</v>
      </c>
    </row>
    <row r="932" spans="1:20" x14ac:dyDescent="0.2">
      <c r="A932" s="22">
        <v>45857</v>
      </c>
      <c r="B932">
        <v>79100</v>
      </c>
      <c r="C932">
        <v>31094</v>
      </c>
      <c r="D932">
        <v>61959</v>
      </c>
      <c r="E932">
        <v>86</v>
      </c>
      <c r="F932">
        <v>4327404</v>
      </c>
      <c r="G932">
        <v>69583</v>
      </c>
      <c r="H932">
        <v>1474</v>
      </c>
      <c r="I932">
        <v>28741</v>
      </c>
      <c r="J932">
        <v>13775495</v>
      </c>
      <c r="K932">
        <v>2644607</v>
      </c>
      <c r="L932">
        <v>842787</v>
      </c>
      <c r="M932">
        <v>25450</v>
      </c>
      <c r="N932">
        <v>1474</v>
      </c>
      <c r="O932">
        <v>5117062</v>
      </c>
      <c r="P932">
        <v>66484</v>
      </c>
      <c r="Q932">
        <v>235808</v>
      </c>
      <c r="R932">
        <v>4888</v>
      </c>
      <c r="S932">
        <v>2404</v>
      </c>
      <c r="T932">
        <v>2773</v>
      </c>
    </row>
    <row r="933" spans="1:20" x14ac:dyDescent="0.2">
      <c r="A933" s="22">
        <v>45858</v>
      </c>
      <c r="B933">
        <v>78273</v>
      </c>
      <c r="C933">
        <v>37656</v>
      </c>
      <c r="D933">
        <v>58429</v>
      </c>
      <c r="E933">
        <v>79</v>
      </c>
      <c r="F933">
        <v>1900023</v>
      </c>
      <c r="G933">
        <v>22564</v>
      </c>
      <c r="H933">
        <v>1091</v>
      </c>
      <c r="I933">
        <v>12499</v>
      </c>
      <c r="J933">
        <v>12804684</v>
      </c>
      <c r="K933">
        <v>1637590</v>
      </c>
      <c r="L933">
        <v>471337</v>
      </c>
      <c r="M933">
        <v>14614</v>
      </c>
      <c r="N933">
        <v>1091</v>
      </c>
      <c r="O933">
        <v>12151572</v>
      </c>
      <c r="P933">
        <v>86356</v>
      </c>
      <c r="Q933">
        <v>231993</v>
      </c>
      <c r="R933">
        <v>8119</v>
      </c>
      <c r="S933">
        <v>3661</v>
      </c>
      <c r="T933">
        <v>2444</v>
      </c>
    </row>
    <row r="934" spans="1:20" x14ac:dyDescent="0.2">
      <c r="A934" s="22">
        <v>45859</v>
      </c>
      <c r="B934">
        <v>74843</v>
      </c>
      <c r="C934">
        <v>36105</v>
      </c>
      <c r="D934">
        <v>58687</v>
      </c>
      <c r="E934">
        <v>154</v>
      </c>
      <c r="F934">
        <v>7265512</v>
      </c>
      <c r="G934">
        <v>87036</v>
      </c>
      <c r="H934">
        <v>1406</v>
      </c>
      <c r="I934">
        <v>32021</v>
      </c>
      <c r="J934">
        <v>11167192</v>
      </c>
      <c r="K934">
        <v>1721447</v>
      </c>
      <c r="L934">
        <v>438977</v>
      </c>
      <c r="M934">
        <v>28220</v>
      </c>
      <c r="N934">
        <v>1406</v>
      </c>
      <c r="O934">
        <v>8353613</v>
      </c>
      <c r="P934">
        <v>133239</v>
      </c>
      <c r="Q934">
        <v>377094</v>
      </c>
      <c r="R934">
        <v>8923</v>
      </c>
      <c r="S934">
        <v>4663</v>
      </c>
      <c r="T934">
        <v>3013</v>
      </c>
    </row>
    <row r="935" spans="1:20" x14ac:dyDescent="0.2">
      <c r="A935" s="22">
        <v>45860</v>
      </c>
      <c r="B935">
        <v>75813</v>
      </c>
      <c r="C935">
        <v>28925</v>
      </c>
      <c r="D935">
        <v>51928</v>
      </c>
      <c r="E935">
        <v>103</v>
      </c>
      <c r="F935">
        <v>9781979</v>
      </c>
      <c r="G935">
        <v>157056</v>
      </c>
      <c r="H935">
        <v>2444</v>
      </c>
      <c r="I935">
        <v>41399</v>
      </c>
      <c r="J935">
        <v>10497924</v>
      </c>
      <c r="K935">
        <v>1669415</v>
      </c>
      <c r="L935">
        <v>443560</v>
      </c>
      <c r="M935">
        <v>23329</v>
      </c>
      <c r="N935">
        <v>2444</v>
      </c>
      <c r="O935">
        <v>6949843</v>
      </c>
      <c r="P935">
        <v>103561</v>
      </c>
      <c r="Q935">
        <v>303326</v>
      </c>
      <c r="R935">
        <v>6399</v>
      </c>
      <c r="S935">
        <v>3445</v>
      </c>
      <c r="T935">
        <v>2779</v>
      </c>
    </row>
    <row r="936" spans="1:20" x14ac:dyDescent="0.2">
      <c r="A936" s="22">
        <v>45861</v>
      </c>
      <c r="B936">
        <v>79816</v>
      </c>
      <c r="C936">
        <v>42182</v>
      </c>
      <c r="D936">
        <v>57552</v>
      </c>
      <c r="E936">
        <v>122</v>
      </c>
      <c r="F936">
        <v>7024445</v>
      </c>
      <c r="G936">
        <v>92149</v>
      </c>
      <c r="H936">
        <v>1737</v>
      </c>
      <c r="I936">
        <v>31091</v>
      </c>
      <c r="J936">
        <v>14967824</v>
      </c>
      <c r="K936">
        <v>1887911</v>
      </c>
      <c r="L936">
        <v>465875</v>
      </c>
      <c r="M936">
        <v>22852</v>
      </c>
      <c r="N936">
        <v>1737</v>
      </c>
      <c r="O936">
        <v>7525439</v>
      </c>
      <c r="P936">
        <v>132805</v>
      </c>
      <c r="Q936">
        <v>332516</v>
      </c>
      <c r="R936">
        <v>7432</v>
      </c>
      <c r="S936">
        <v>5603</v>
      </c>
      <c r="T936">
        <v>2729</v>
      </c>
    </row>
    <row r="937" spans="1:20" x14ac:dyDescent="0.2">
      <c r="A937" s="22">
        <v>45862</v>
      </c>
      <c r="B937">
        <v>72678</v>
      </c>
      <c r="C937">
        <v>30815</v>
      </c>
      <c r="D937">
        <v>44299</v>
      </c>
      <c r="E937">
        <v>152</v>
      </c>
      <c r="F937">
        <v>8569504</v>
      </c>
      <c r="G937">
        <v>112045</v>
      </c>
      <c r="H937">
        <v>1835</v>
      </c>
      <c r="I937">
        <v>36884</v>
      </c>
      <c r="J937">
        <v>16096708</v>
      </c>
      <c r="K937">
        <v>1960536</v>
      </c>
      <c r="L937">
        <v>664692</v>
      </c>
      <c r="M937">
        <v>26608</v>
      </c>
      <c r="N937">
        <v>1835</v>
      </c>
      <c r="O937">
        <v>8324146</v>
      </c>
      <c r="P937">
        <v>129596</v>
      </c>
      <c r="Q937">
        <v>398517</v>
      </c>
      <c r="R937">
        <v>9937</v>
      </c>
      <c r="S937">
        <v>7886</v>
      </c>
      <c r="T937">
        <v>2634</v>
      </c>
    </row>
    <row r="938" spans="1:20" x14ac:dyDescent="0.2">
      <c r="A938" s="22">
        <v>45863</v>
      </c>
      <c r="B938">
        <v>71857</v>
      </c>
      <c r="C938">
        <v>31703</v>
      </c>
      <c r="D938">
        <v>41884</v>
      </c>
      <c r="E938">
        <v>159</v>
      </c>
      <c r="F938">
        <v>9471527</v>
      </c>
      <c r="G938">
        <v>123541</v>
      </c>
      <c r="H938">
        <v>2376</v>
      </c>
      <c r="I938">
        <v>36574</v>
      </c>
      <c r="J938">
        <v>12921687</v>
      </c>
      <c r="K938">
        <v>1772825</v>
      </c>
      <c r="L938">
        <v>704495</v>
      </c>
      <c r="M938">
        <v>23297</v>
      </c>
      <c r="N938">
        <v>2376</v>
      </c>
      <c r="O938">
        <v>7110096</v>
      </c>
      <c r="P938">
        <v>124475</v>
      </c>
      <c r="Q938">
        <v>368854</v>
      </c>
      <c r="R938">
        <v>8562</v>
      </c>
      <c r="S938">
        <v>4193</v>
      </c>
      <c r="T938">
        <v>2962</v>
      </c>
    </row>
    <row r="939" spans="1:20" x14ac:dyDescent="0.2">
      <c r="A939" s="22">
        <v>45864</v>
      </c>
      <c r="B939">
        <v>68891</v>
      </c>
      <c r="C939">
        <v>33252</v>
      </c>
      <c r="D939">
        <v>54956</v>
      </c>
      <c r="E939">
        <v>151</v>
      </c>
      <c r="F939">
        <v>8782897</v>
      </c>
      <c r="G939">
        <v>105780</v>
      </c>
      <c r="H939">
        <v>2057</v>
      </c>
      <c r="I939">
        <v>38177</v>
      </c>
      <c r="J939">
        <v>12626240</v>
      </c>
      <c r="K939">
        <v>1786954</v>
      </c>
      <c r="L939">
        <v>458657</v>
      </c>
      <c r="M939">
        <v>22154</v>
      </c>
      <c r="N939">
        <v>2057</v>
      </c>
      <c r="O939">
        <v>7608683</v>
      </c>
      <c r="P939">
        <v>136306</v>
      </c>
      <c r="Q939">
        <v>478662</v>
      </c>
      <c r="R939">
        <v>7657</v>
      </c>
      <c r="S939">
        <v>3163</v>
      </c>
      <c r="T939">
        <v>3198</v>
      </c>
    </row>
    <row r="940" spans="1:20" x14ac:dyDescent="0.2">
      <c r="A940" s="22">
        <v>45865</v>
      </c>
      <c r="B940">
        <v>67202</v>
      </c>
      <c r="C940">
        <v>26087</v>
      </c>
      <c r="D940">
        <v>47596</v>
      </c>
      <c r="E940">
        <v>61</v>
      </c>
      <c r="F940">
        <v>4219335</v>
      </c>
      <c r="G940">
        <v>43812</v>
      </c>
      <c r="H940">
        <v>1578</v>
      </c>
      <c r="I940">
        <v>23082</v>
      </c>
      <c r="J940">
        <v>15608300</v>
      </c>
      <c r="K940">
        <v>2205674</v>
      </c>
      <c r="L940">
        <v>724636</v>
      </c>
      <c r="M940">
        <v>28835</v>
      </c>
      <c r="N940">
        <v>1578</v>
      </c>
      <c r="O940">
        <v>6066092</v>
      </c>
      <c r="P940">
        <v>106328</v>
      </c>
      <c r="Q940">
        <v>451770</v>
      </c>
      <c r="R940">
        <v>5533</v>
      </c>
      <c r="S940">
        <v>1972</v>
      </c>
      <c r="T940">
        <v>3325</v>
      </c>
    </row>
    <row r="941" spans="1:20" x14ac:dyDescent="0.2">
      <c r="A941" s="22">
        <v>45866</v>
      </c>
      <c r="B941">
        <v>78328</v>
      </c>
      <c r="C941">
        <v>31131</v>
      </c>
      <c r="D941">
        <v>41922</v>
      </c>
      <c r="E941">
        <v>112</v>
      </c>
      <c r="F941">
        <v>13813745</v>
      </c>
      <c r="G941">
        <v>198462</v>
      </c>
      <c r="H941">
        <v>2723</v>
      </c>
      <c r="I941">
        <v>83479</v>
      </c>
      <c r="J941">
        <v>36101955</v>
      </c>
      <c r="K941">
        <v>4554351</v>
      </c>
      <c r="L941">
        <v>1581039</v>
      </c>
      <c r="M941">
        <v>46083</v>
      </c>
      <c r="N941">
        <v>2723</v>
      </c>
      <c r="O941">
        <v>7664882</v>
      </c>
      <c r="P941">
        <v>127417</v>
      </c>
      <c r="Q941">
        <v>377585</v>
      </c>
      <c r="R941">
        <v>7067</v>
      </c>
      <c r="S941">
        <v>2986</v>
      </c>
      <c r="T941">
        <v>3357</v>
      </c>
    </row>
    <row r="942" spans="1:20" x14ac:dyDescent="0.2">
      <c r="A942" s="22">
        <v>45867</v>
      </c>
      <c r="B942">
        <v>66593</v>
      </c>
      <c r="C942">
        <v>33712</v>
      </c>
      <c r="D942">
        <v>37276</v>
      </c>
      <c r="E942">
        <v>80</v>
      </c>
      <c r="F942">
        <v>10207928</v>
      </c>
      <c r="G942">
        <v>126279</v>
      </c>
      <c r="H942">
        <v>2609</v>
      </c>
      <c r="I942">
        <v>41928</v>
      </c>
      <c r="J942">
        <v>27180225</v>
      </c>
      <c r="K942">
        <v>2824939</v>
      </c>
      <c r="L942">
        <v>1148448</v>
      </c>
      <c r="M942">
        <v>24930</v>
      </c>
      <c r="N942">
        <v>2609</v>
      </c>
      <c r="O942">
        <v>6109889</v>
      </c>
      <c r="P942">
        <v>104618</v>
      </c>
      <c r="Q942">
        <v>394267</v>
      </c>
      <c r="R942">
        <v>4351</v>
      </c>
      <c r="S942">
        <v>2061</v>
      </c>
      <c r="T942">
        <v>3374</v>
      </c>
    </row>
    <row r="943" spans="1:20" x14ac:dyDescent="0.2">
      <c r="A943" s="22">
        <v>45868</v>
      </c>
      <c r="B943">
        <v>65412</v>
      </c>
      <c r="C943">
        <v>23867</v>
      </c>
      <c r="D943">
        <v>39978</v>
      </c>
      <c r="E943">
        <v>110</v>
      </c>
      <c r="F943">
        <v>10792051</v>
      </c>
      <c r="G943">
        <v>119849</v>
      </c>
      <c r="H943">
        <v>2497</v>
      </c>
      <c r="I943">
        <v>39251</v>
      </c>
      <c r="J943">
        <v>14587639</v>
      </c>
      <c r="K943">
        <v>1800443</v>
      </c>
      <c r="L943">
        <v>540127</v>
      </c>
      <c r="M943">
        <v>26779</v>
      </c>
      <c r="N943">
        <v>2497</v>
      </c>
      <c r="O943">
        <v>4059745</v>
      </c>
      <c r="P943">
        <v>73353</v>
      </c>
      <c r="Q943">
        <v>275570</v>
      </c>
      <c r="R943">
        <v>2976</v>
      </c>
      <c r="S943">
        <v>3055</v>
      </c>
      <c r="T943">
        <v>4575</v>
      </c>
    </row>
    <row r="944" spans="1:20" x14ac:dyDescent="0.2">
      <c r="A944" s="22">
        <v>45869</v>
      </c>
      <c r="B944">
        <v>72937</v>
      </c>
      <c r="C944">
        <v>25722</v>
      </c>
      <c r="D944">
        <v>53978</v>
      </c>
      <c r="E944">
        <v>163</v>
      </c>
      <c r="F944">
        <v>11846356</v>
      </c>
      <c r="G944">
        <v>154652</v>
      </c>
      <c r="H944">
        <v>2542</v>
      </c>
      <c r="I944">
        <v>40713</v>
      </c>
      <c r="J944">
        <v>13604262</v>
      </c>
      <c r="K944">
        <v>1646618</v>
      </c>
      <c r="L944">
        <v>454194</v>
      </c>
      <c r="M944">
        <v>30769</v>
      </c>
      <c r="N944">
        <v>2542</v>
      </c>
      <c r="O944">
        <v>6048846</v>
      </c>
      <c r="P944">
        <v>96100</v>
      </c>
      <c r="Q944">
        <v>543351</v>
      </c>
      <c r="R944">
        <v>5754</v>
      </c>
      <c r="S944">
        <v>3835</v>
      </c>
      <c r="T944">
        <v>3947</v>
      </c>
    </row>
    <row r="945" spans="1:20" x14ac:dyDescent="0.2">
      <c r="A945" s="22">
        <v>45870</v>
      </c>
      <c r="B945">
        <v>79941</v>
      </c>
      <c r="C945">
        <v>30335</v>
      </c>
      <c r="D945">
        <v>55029</v>
      </c>
      <c r="E945">
        <v>62</v>
      </c>
      <c r="F945">
        <v>12022588</v>
      </c>
      <c r="G945">
        <v>158136</v>
      </c>
      <c r="H945">
        <v>3418</v>
      </c>
      <c r="I945">
        <v>45505</v>
      </c>
      <c r="J945">
        <v>12068052</v>
      </c>
      <c r="K945">
        <v>1714133</v>
      </c>
      <c r="L945">
        <v>533877</v>
      </c>
      <c r="M945">
        <v>41955</v>
      </c>
      <c r="N945">
        <v>3418</v>
      </c>
      <c r="O945">
        <v>7418716</v>
      </c>
      <c r="P945">
        <v>92796</v>
      </c>
      <c r="Q945">
        <v>329005</v>
      </c>
      <c r="R945">
        <v>5674</v>
      </c>
      <c r="S945">
        <v>2050</v>
      </c>
      <c r="T945">
        <v>3919</v>
      </c>
    </row>
    <row r="946" spans="1:20" x14ac:dyDescent="0.2">
      <c r="A946" s="22">
        <v>45871</v>
      </c>
      <c r="B946">
        <v>72700</v>
      </c>
      <c r="C946">
        <v>33997</v>
      </c>
      <c r="D946">
        <v>56654</v>
      </c>
      <c r="E946">
        <v>160</v>
      </c>
      <c r="F946">
        <v>9721044</v>
      </c>
      <c r="G946">
        <v>112916</v>
      </c>
      <c r="H946">
        <v>3099</v>
      </c>
      <c r="I946">
        <v>39399</v>
      </c>
      <c r="J946">
        <v>10613210</v>
      </c>
      <c r="K946">
        <v>1617188</v>
      </c>
      <c r="L946">
        <v>356965</v>
      </c>
      <c r="M946">
        <v>23817</v>
      </c>
      <c r="N946">
        <v>3099</v>
      </c>
      <c r="O946">
        <v>5339157</v>
      </c>
      <c r="P946">
        <v>50930</v>
      </c>
      <c r="Q946">
        <v>273012</v>
      </c>
      <c r="R946">
        <v>4257</v>
      </c>
      <c r="S946">
        <v>1611</v>
      </c>
      <c r="T946">
        <v>3827</v>
      </c>
    </row>
    <row r="947" spans="1:20" x14ac:dyDescent="0.2">
      <c r="A947" s="22">
        <v>45872</v>
      </c>
      <c r="B947">
        <v>68459</v>
      </c>
      <c r="C947">
        <v>24989</v>
      </c>
      <c r="D947">
        <v>38280</v>
      </c>
      <c r="E947">
        <v>76</v>
      </c>
      <c r="F947">
        <v>5736464</v>
      </c>
      <c r="G947">
        <v>64006</v>
      </c>
      <c r="H947">
        <v>2219</v>
      </c>
      <c r="I947">
        <v>30137</v>
      </c>
      <c r="J947">
        <v>10457261</v>
      </c>
      <c r="K947">
        <v>1440214</v>
      </c>
      <c r="L947">
        <v>431957</v>
      </c>
      <c r="M947">
        <v>17923</v>
      </c>
      <c r="N947">
        <v>2219</v>
      </c>
      <c r="O947">
        <v>2286398</v>
      </c>
      <c r="P947">
        <v>34048</v>
      </c>
      <c r="Q947">
        <v>144510</v>
      </c>
      <c r="R947">
        <v>1968</v>
      </c>
      <c r="S947">
        <v>918</v>
      </c>
      <c r="T947">
        <v>4089</v>
      </c>
    </row>
    <row r="948" spans="1:20" x14ac:dyDescent="0.2">
      <c r="A948" s="22">
        <v>45873</v>
      </c>
      <c r="B948">
        <v>66543</v>
      </c>
      <c r="C948">
        <v>26186</v>
      </c>
      <c r="D948">
        <v>34908</v>
      </c>
      <c r="E948">
        <v>93</v>
      </c>
      <c r="F948">
        <v>5544149</v>
      </c>
      <c r="G948">
        <v>62925</v>
      </c>
      <c r="H948">
        <v>1803</v>
      </c>
      <c r="I948">
        <v>29109</v>
      </c>
      <c r="J948">
        <v>8101675</v>
      </c>
      <c r="K948">
        <v>1250534</v>
      </c>
      <c r="L948">
        <v>318265</v>
      </c>
      <c r="M948">
        <v>23974</v>
      </c>
      <c r="N948">
        <v>1803</v>
      </c>
      <c r="O948">
        <v>2714574</v>
      </c>
      <c r="P948">
        <v>42923</v>
      </c>
      <c r="Q948">
        <v>141045</v>
      </c>
      <c r="R948">
        <v>2396</v>
      </c>
      <c r="S948">
        <v>1122</v>
      </c>
      <c r="T948">
        <v>3831</v>
      </c>
    </row>
    <row r="949" spans="1:20" x14ac:dyDescent="0.2">
      <c r="A949" s="22">
        <v>45874</v>
      </c>
      <c r="B949">
        <v>77329</v>
      </c>
      <c r="C949">
        <v>32836</v>
      </c>
      <c r="D949">
        <v>44280</v>
      </c>
      <c r="E949">
        <v>155</v>
      </c>
      <c r="F949">
        <v>8006772</v>
      </c>
      <c r="G949">
        <v>111955</v>
      </c>
      <c r="H949">
        <v>2288</v>
      </c>
      <c r="I949">
        <v>36661</v>
      </c>
      <c r="J949">
        <v>11571912</v>
      </c>
      <c r="K949">
        <v>1380745</v>
      </c>
      <c r="L949">
        <v>456707</v>
      </c>
      <c r="M949">
        <v>23274</v>
      </c>
      <c r="N949">
        <v>2288</v>
      </c>
      <c r="O949">
        <v>4987251</v>
      </c>
      <c r="P949">
        <v>79771</v>
      </c>
      <c r="Q949">
        <v>230306</v>
      </c>
      <c r="R949">
        <v>7876</v>
      </c>
      <c r="S949">
        <v>1874</v>
      </c>
      <c r="T949">
        <v>4565</v>
      </c>
    </row>
    <row r="950" spans="1:20" x14ac:dyDescent="0.2">
      <c r="A950" s="22">
        <v>45875</v>
      </c>
      <c r="B950">
        <v>77443</v>
      </c>
      <c r="C950">
        <v>31511</v>
      </c>
      <c r="D950">
        <v>58672</v>
      </c>
      <c r="E950">
        <v>87</v>
      </c>
      <c r="F950">
        <v>8097768</v>
      </c>
      <c r="G950">
        <v>123020</v>
      </c>
      <c r="H950">
        <v>2577</v>
      </c>
      <c r="I950">
        <v>36430</v>
      </c>
      <c r="J950">
        <v>10726131</v>
      </c>
      <c r="K950">
        <v>1521133</v>
      </c>
      <c r="L950">
        <v>498937</v>
      </c>
      <c r="M950">
        <v>24984</v>
      </c>
      <c r="N950">
        <v>2577</v>
      </c>
      <c r="O950">
        <v>5760899</v>
      </c>
      <c r="P950">
        <v>88247</v>
      </c>
      <c r="Q950">
        <v>266644</v>
      </c>
      <c r="R950">
        <v>6239</v>
      </c>
      <c r="S950">
        <v>1795</v>
      </c>
      <c r="T950">
        <v>4216</v>
      </c>
    </row>
    <row r="951" spans="1:20" x14ac:dyDescent="0.2">
      <c r="A951" s="22">
        <v>45876</v>
      </c>
      <c r="B951">
        <v>74988</v>
      </c>
      <c r="C951">
        <v>38140</v>
      </c>
      <c r="D951">
        <v>46091</v>
      </c>
      <c r="E951">
        <v>81</v>
      </c>
      <c r="F951">
        <v>10782679</v>
      </c>
      <c r="G951">
        <v>170011</v>
      </c>
      <c r="H951">
        <v>4283</v>
      </c>
      <c r="I951">
        <v>43125</v>
      </c>
      <c r="J951">
        <v>14427450</v>
      </c>
      <c r="K951">
        <v>1897830</v>
      </c>
      <c r="L951">
        <v>690445</v>
      </c>
      <c r="M951">
        <v>27029</v>
      </c>
      <c r="N951">
        <v>4283</v>
      </c>
      <c r="O951">
        <v>8129372</v>
      </c>
      <c r="P951">
        <v>96657</v>
      </c>
      <c r="Q951">
        <v>276545</v>
      </c>
      <c r="R951">
        <v>7996</v>
      </c>
      <c r="S951">
        <v>1644</v>
      </c>
      <c r="T951">
        <v>4361</v>
      </c>
    </row>
    <row r="952" spans="1:20" x14ac:dyDescent="0.2">
      <c r="A952" s="22">
        <v>45877</v>
      </c>
      <c r="B952">
        <v>76636</v>
      </c>
      <c r="C952">
        <v>27965</v>
      </c>
      <c r="D952">
        <v>57794</v>
      </c>
      <c r="E952">
        <v>124</v>
      </c>
      <c r="F952">
        <v>12873189</v>
      </c>
      <c r="G952">
        <v>209953</v>
      </c>
      <c r="H952">
        <v>4340</v>
      </c>
      <c r="I952">
        <v>48548</v>
      </c>
      <c r="J952">
        <v>10492254</v>
      </c>
      <c r="K952">
        <v>1775834</v>
      </c>
      <c r="L952">
        <v>576436</v>
      </c>
      <c r="M952">
        <v>27340</v>
      </c>
      <c r="N952">
        <v>4340</v>
      </c>
      <c r="O952">
        <v>10760971</v>
      </c>
      <c r="P952">
        <v>136907</v>
      </c>
      <c r="Q952">
        <v>399944</v>
      </c>
      <c r="R952">
        <v>14078</v>
      </c>
      <c r="S952">
        <v>4198</v>
      </c>
      <c r="T952">
        <v>4595</v>
      </c>
    </row>
    <row r="953" spans="1:20" x14ac:dyDescent="0.2">
      <c r="A953" s="22">
        <v>45878</v>
      </c>
      <c r="B953">
        <v>78323</v>
      </c>
      <c r="C953">
        <v>36443</v>
      </c>
      <c r="D953">
        <v>51244</v>
      </c>
      <c r="E953">
        <v>110</v>
      </c>
      <c r="F953">
        <v>14363658</v>
      </c>
      <c r="G953">
        <v>243898</v>
      </c>
      <c r="H953">
        <v>3954</v>
      </c>
      <c r="I953">
        <v>93304</v>
      </c>
      <c r="J953">
        <v>11680496</v>
      </c>
      <c r="K953">
        <v>1806799</v>
      </c>
      <c r="L953">
        <v>590884</v>
      </c>
      <c r="M953">
        <v>36028</v>
      </c>
      <c r="N953">
        <v>3954</v>
      </c>
      <c r="O953">
        <v>6899203</v>
      </c>
      <c r="P953">
        <v>108429</v>
      </c>
      <c r="Q953">
        <v>329850</v>
      </c>
      <c r="R953">
        <v>5675</v>
      </c>
      <c r="S953">
        <v>6687</v>
      </c>
      <c r="T953">
        <v>4212</v>
      </c>
    </row>
    <row r="954" spans="1:20" x14ac:dyDescent="0.2">
      <c r="A954" s="22">
        <v>45879</v>
      </c>
      <c r="B954">
        <v>69560</v>
      </c>
      <c r="C954">
        <v>33347</v>
      </c>
      <c r="D954">
        <v>51660</v>
      </c>
      <c r="E954">
        <v>138</v>
      </c>
      <c r="F954">
        <v>7098013</v>
      </c>
      <c r="G954">
        <v>119114</v>
      </c>
      <c r="H954">
        <v>3131</v>
      </c>
      <c r="I954">
        <v>44970</v>
      </c>
      <c r="J954">
        <v>12687476</v>
      </c>
      <c r="K954">
        <v>1733293</v>
      </c>
      <c r="L954">
        <v>412762</v>
      </c>
      <c r="M954">
        <v>33967</v>
      </c>
      <c r="N954">
        <v>3131</v>
      </c>
      <c r="O954">
        <v>4390356</v>
      </c>
      <c r="P954">
        <v>63255</v>
      </c>
      <c r="Q954">
        <v>358161</v>
      </c>
      <c r="R954">
        <v>4390</v>
      </c>
      <c r="S954">
        <v>4864</v>
      </c>
      <c r="T954">
        <v>4157</v>
      </c>
    </row>
    <row r="955" spans="1:20" x14ac:dyDescent="0.2">
      <c r="A955" s="22">
        <v>45880</v>
      </c>
      <c r="B955">
        <v>74160</v>
      </c>
      <c r="C955">
        <v>34207</v>
      </c>
      <c r="D955">
        <v>57445</v>
      </c>
      <c r="E955">
        <v>148</v>
      </c>
      <c r="F955">
        <v>17358709</v>
      </c>
      <c r="G955">
        <v>354151</v>
      </c>
      <c r="H955">
        <v>7336</v>
      </c>
      <c r="I955">
        <v>221202</v>
      </c>
      <c r="J955">
        <v>15343436</v>
      </c>
      <c r="K955">
        <v>1927419</v>
      </c>
      <c r="L955">
        <v>595559</v>
      </c>
      <c r="M955">
        <v>55452</v>
      </c>
      <c r="N955">
        <v>7336</v>
      </c>
      <c r="O955">
        <v>8048306</v>
      </c>
      <c r="P955">
        <v>122816</v>
      </c>
      <c r="Q955">
        <v>583887</v>
      </c>
      <c r="R955">
        <v>7289</v>
      </c>
      <c r="S955">
        <v>3315</v>
      </c>
      <c r="T955">
        <v>4702</v>
      </c>
    </row>
    <row r="956" spans="1:20" x14ac:dyDescent="0.2">
      <c r="A956" s="22">
        <v>45881</v>
      </c>
      <c r="B956">
        <v>69455</v>
      </c>
      <c r="C956">
        <v>25456</v>
      </c>
      <c r="D956">
        <v>53425</v>
      </c>
      <c r="E956">
        <v>98</v>
      </c>
      <c r="F956">
        <v>14785477</v>
      </c>
      <c r="G956">
        <v>193302</v>
      </c>
      <c r="H956">
        <v>3900</v>
      </c>
      <c r="I956">
        <v>55079</v>
      </c>
      <c r="J956">
        <v>9762453</v>
      </c>
      <c r="K956">
        <v>1469639</v>
      </c>
      <c r="L956">
        <v>450577</v>
      </c>
      <c r="M956">
        <v>29717</v>
      </c>
      <c r="N956">
        <v>3900</v>
      </c>
      <c r="O956">
        <v>8975034</v>
      </c>
      <c r="P956">
        <v>102883</v>
      </c>
      <c r="Q956">
        <v>530788</v>
      </c>
      <c r="R956">
        <v>9820</v>
      </c>
      <c r="S956">
        <v>3167</v>
      </c>
      <c r="T956">
        <v>4732</v>
      </c>
    </row>
    <row r="957" spans="1:20" x14ac:dyDescent="0.2">
      <c r="A957" s="22">
        <v>45882</v>
      </c>
      <c r="B957">
        <v>65563</v>
      </c>
      <c r="C957">
        <v>27934</v>
      </c>
      <c r="D957">
        <v>40716</v>
      </c>
      <c r="E957">
        <v>91</v>
      </c>
      <c r="F957">
        <v>17246347</v>
      </c>
      <c r="G957">
        <v>228038</v>
      </c>
      <c r="H957">
        <v>4039</v>
      </c>
      <c r="I957">
        <v>61064</v>
      </c>
      <c r="J957">
        <v>11333324</v>
      </c>
      <c r="K957">
        <v>1446524</v>
      </c>
      <c r="L957">
        <v>529828</v>
      </c>
      <c r="M957">
        <v>31321</v>
      </c>
      <c r="N957">
        <v>4039</v>
      </c>
      <c r="O957">
        <v>11630161</v>
      </c>
      <c r="P957">
        <v>147849</v>
      </c>
      <c r="Q957">
        <v>763206</v>
      </c>
      <c r="R957">
        <v>9581</v>
      </c>
      <c r="S957">
        <v>4721</v>
      </c>
      <c r="T957">
        <v>5019</v>
      </c>
    </row>
    <row r="958" spans="1:20" x14ac:dyDescent="0.2">
      <c r="A958" s="22">
        <v>45883</v>
      </c>
      <c r="B958">
        <v>67115</v>
      </c>
      <c r="C958">
        <v>25871</v>
      </c>
      <c r="D958">
        <v>43874</v>
      </c>
      <c r="E958">
        <v>67</v>
      </c>
      <c r="F958">
        <v>15195999</v>
      </c>
      <c r="G958">
        <v>198416</v>
      </c>
      <c r="H958">
        <v>3274</v>
      </c>
      <c r="I958">
        <v>62167</v>
      </c>
      <c r="J958">
        <v>12426228</v>
      </c>
      <c r="K958">
        <v>1486446</v>
      </c>
      <c r="L958">
        <v>444403</v>
      </c>
      <c r="M958">
        <v>28271</v>
      </c>
      <c r="N958">
        <v>3274</v>
      </c>
      <c r="O958">
        <v>13505110</v>
      </c>
      <c r="P958">
        <v>168973</v>
      </c>
      <c r="Q958">
        <v>892662</v>
      </c>
      <c r="R958">
        <v>10514</v>
      </c>
      <c r="S958">
        <v>4037</v>
      </c>
      <c r="T958">
        <v>5690</v>
      </c>
    </row>
    <row r="959" spans="1:20" x14ac:dyDescent="0.2">
      <c r="A959" s="22">
        <v>45884</v>
      </c>
      <c r="B959">
        <v>66962</v>
      </c>
      <c r="C959">
        <v>35800</v>
      </c>
      <c r="D959">
        <v>44493</v>
      </c>
      <c r="E959">
        <v>141</v>
      </c>
      <c r="F959">
        <v>11098406</v>
      </c>
      <c r="G959">
        <v>128986</v>
      </c>
      <c r="H959">
        <v>2538</v>
      </c>
      <c r="I959">
        <v>42269</v>
      </c>
      <c r="J959">
        <v>9992807</v>
      </c>
      <c r="K959">
        <v>1378198</v>
      </c>
      <c r="L959">
        <v>466165</v>
      </c>
      <c r="M959">
        <v>22419</v>
      </c>
      <c r="N959">
        <v>2538</v>
      </c>
      <c r="O959">
        <v>11509701</v>
      </c>
      <c r="P959">
        <v>109366</v>
      </c>
      <c r="Q959">
        <v>480677</v>
      </c>
      <c r="R959">
        <v>15013</v>
      </c>
      <c r="S959">
        <v>4111</v>
      </c>
      <c r="T959">
        <v>5183</v>
      </c>
    </row>
    <row r="960" spans="1:20" x14ac:dyDescent="0.2">
      <c r="A960" s="22">
        <v>45885</v>
      </c>
      <c r="B960">
        <v>71398</v>
      </c>
      <c r="C960">
        <v>38983</v>
      </c>
      <c r="D960">
        <v>40371</v>
      </c>
      <c r="E960">
        <v>111</v>
      </c>
      <c r="F960">
        <v>7772041</v>
      </c>
      <c r="G960">
        <v>84168</v>
      </c>
      <c r="H960">
        <v>1535</v>
      </c>
      <c r="I960">
        <v>33978</v>
      </c>
      <c r="J960">
        <v>9573319</v>
      </c>
      <c r="K960">
        <v>1423531</v>
      </c>
      <c r="L960">
        <v>390134</v>
      </c>
      <c r="M960">
        <v>25600</v>
      </c>
      <c r="N960">
        <v>1535</v>
      </c>
      <c r="O960">
        <v>6884898</v>
      </c>
      <c r="P960">
        <v>93710</v>
      </c>
      <c r="Q960">
        <v>388152</v>
      </c>
      <c r="R960">
        <v>8633</v>
      </c>
      <c r="S960">
        <v>3176</v>
      </c>
      <c r="T960">
        <v>4660</v>
      </c>
    </row>
    <row r="961" spans="1:20" x14ac:dyDescent="0.2">
      <c r="A961" s="22">
        <v>45886</v>
      </c>
      <c r="B961">
        <v>67974</v>
      </c>
      <c r="C961">
        <v>33038</v>
      </c>
      <c r="D961">
        <v>39340</v>
      </c>
      <c r="E961">
        <v>130</v>
      </c>
      <c r="F961">
        <v>5270094</v>
      </c>
      <c r="G961">
        <v>56754</v>
      </c>
      <c r="H961">
        <v>1840</v>
      </c>
      <c r="I961">
        <v>26887</v>
      </c>
      <c r="J961">
        <v>12330317</v>
      </c>
      <c r="K961">
        <v>1289280</v>
      </c>
      <c r="L961">
        <v>425068</v>
      </c>
      <c r="M961">
        <v>17813</v>
      </c>
      <c r="N961">
        <v>1840</v>
      </c>
      <c r="O961">
        <v>4172469</v>
      </c>
      <c r="P961">
        <v>52717</v>
      </c>
      <c r="Q961">
        <v>188530</v>
      </c>
      <c r="R961">
        <v>5001</v>
      </c>
      <c r="S961">
        <v>1696</v>
      </c>
      <c r="T961">
        <v>4494</v>
      </c>
    </row>
    <row r="962" spans="1:20" x14ac:dyDescent="0.2">
      <c r="A962" s="22">
        <v>45887</v>
      </c>
      <c r="B962">
        <v>69906</v>
      </c>
      <c r="C962">
        <v>33096</v>
      </c>
      <c r="D962">
        <v>49538</v>
      </c>
      <c r="E962">
        <v>165</v>
      </c>
      <c r="F962">
        <v>11763724</v>
      </c>
      <c r="G962">
        <v>162894</v>
      </c>
      <c r="H962">
        <v>2563</v>
      </c>
      <c r="I962">
        <v>43535</v>
      </c>
      <c r="J962">
        <v>11305731</v>
      </c>
      <c r="K962">
        <v>1648144</v>
      </c>
      <c r="L962">
        <v>712533</v>
      </c>
      <c r="M962">
        <v>22938</v>
      </c>
      <c r="N962">
        <v>2563</v>
      </c>
      <c r="O962">
        <v>5384162</v>
      </c>
      <c r="P962">
        <v>92973</v>
      </c>
      <c r="Q962">
        <v>270395</v>
      </c>
      <c r="R962">
        <v>6627</v>
      </c>
      <c r="S962">
        <v>2329</v>
      </c>
      <c r="T962">
        <v>4731</v>
      </c>
    </row>
    <row r="963" spans="1:20" x14ac:dyDescent="0.2">
      <c r="A963" s="22">
        <v>45888</v>
      </c>
      <c r="B963">
        <v>75108</v>
      </c>
      <c r="C963">
        <v>35110</v>
      </c>
      <c r="D963">
        <v>53387</v>
      </c>
      <c r="E963">
        <v>69</v>
      </c>
      <c r="F963">
        <v>12738634</v>
      </c>
      <c r="G963">
        <v>176819</v>
      </c>
      <c r="H963">
        <v>2652</v>
      </c>
      <c r="I963">
        <v>38719</v>
      </c>
      <c r="J963">
        <v>8800400</v>
      </c>
      <c r="K963">
        <v>1433427</v>
      </c>
      <c r="L963">
        <v>373146</v>
      </c>
      <c r="M963">
        <v>26269</v>
      </c>
      <c r="N963">
        <v>2652</v>
      </c>
      <c r="O963">
        <v>6962459</v>
      </c>
      <c r="P963">
        <v>104910</v>
      </c>
      <c r="Q963">
        <v>323013</v>
      </c>
      <c r="R963">
        <v>8913</v>
      </c>
      <c r="S963">
        <v>2634</v>
      </c>
      <c r="T963">
        <v>5288</v>
      </c>
    </row>
    <row r="964" spans="1:20" x14ac:dyDescent="0.2">
      <c r="A964" s="22">
        <v>45889</v>
      </c>
      <c r="B964">
        <v>74783</v>
      </c>
      <c r="C964">
        <v>30277</v>
      </c>
      <c r="D964">
        <v>47701</v>
      </c>
      <c r="E964">
        <v>65</v>
      </c>
      <c r="F964">
        <v>10285595</v>
      </c>
      <c r="G964">
        <v>128817</v>
      </c>
      <c r="H964">
        <v>2757</v>
      </c>
      <c r="I964">
        <v>41419</v>
      </c>
      <c r="J964">
        <v>9575865</v>
      </c>
      <c r="K964">
        <v>1446362</v>
      </c>
      <c r="L964">
        <v>534698</v>
      </c>
      <c r="M964">
        <v>23525</v>
      </c>
      <c r="N964">
        <v>2757</v>
      </c>
      <c r="O964">
        <v>7725070</v>
      </c>
      <c r="P964">
        <v>93651</v>
      </c>
      <c r="Q964">
        <v>313525</v>
      </c>
      <c r="R964">
        <v>6917</v>
      </c>
      <c r="S964">
        <v>2132</v>
      </c>
      <c r="T964">
        <v>5400</v>
      </c>
    </row>
    <row r="965" spans="1:20" x14ac:dyDescent="0.2">
      <c r="A965" s="22">
        <v>45890</v>
      </c>
      <c r="B965">
        <v>76927</v>
      </c>
      <c r="C965">
        <v>28801</v>
      </c>
      <c r="D965">
        <v>48338</v>
      </c>
      <c r="E965">
        <v>172</v>
      </c>
      <c r="F965">
        <v>14624918</v>
      </c>
      <c r="G965">
        <v>223098</v>
      </c>
      <c r="H965">
        <v>3954</v>
      </c>
      <c r="I965">
        <v>48589</v>
      </c>
      <c r="J965">
        <v>12185935</v>
      </c>
      <c r="K965">
        <v>1941208</v>
      </c>
      <c r="L965">
        <v>746178</v>
      </c>
      <c r="M965">
        <v>23350</v>
      </c>
      <c r="N965">
        <v>3954</v>
      </c>
      <c r="O965">
        <v>6303779</v>
      </c>
      <c r="P965">
        <v>111785</v>
      </c>
      <c r="Q965">
        <v>351989</v>
      </c>
      <c r="R965">
        <v>5454</v>
      </c>
      <c r="S965">
        <v>2016</v>
      </c>
      <c r="T965">
        <v>5505</v>
      </c>
    </row>
    <row r="966" spans="1:20" x14ac:dyDescent="0.2">
      <c r="A966" s="22">
        <v>45891</v>
      </c>
      <c r="B966">
        <v>77442</v>
      </c>
      <c r="C966">
        <v>29341</v>
      </c>
      <c r="D966">
        <v>53751</v>
      </c>
      <c r="E966">
        <v>101</v>
      </c>
      <c r="F966">
        <v>11752646</v>
      </c>
      <c r="G966">
        <v>151721</v>
      </c>
      <c r="H966">
        <v>2693</v>
      </c>
      <c r="I966">
        <v>43548</v>
      </c>
      <c r="J966">
        <v>17337195</v>
      </c>
      <c r="K966">
        <v>2303904</v>
      </c>
      <c r="L966">
        <v>587513</v>
      </c>
      <c r="M966">
        <v>26706</v>
      </c>
      <c r="N966">
        <v>2693</v>
      </c>
      <c r="O966">
        <v>10812262</v>
      </c>
      <c r="P966">
        <v>166291</v>
      </c>
      <c r="Q966">
        <v>565526</v>
      </c>
      <c r="R966">
        <v>9067</v>
      </c>
      <c r="S966">
        <v>5341</v>
      </c>
      <c r="T966">
        <v>6229</v>
      </c>
    </row>
    <row r="967" spans="1:20" x14ac:dyDescent="0.2">
      <c r="A967" s="22">
        <v>45892</v>
      </c>
      <c r="B967">
        <v>72229</v>
      </c>
      <c r="C967">
        <v>37861</v>
      </c>
      <c r="D967">
        <v>42325</v>
      </c>
      <c r="E967">
        <v>136</v>
      </c>
      <c r="F967">
        <v>4828739</v>
      </c>
      <c r="G967">
        <v>61063</v>
      </c>
      <c r="H967">
        <v>1533</v>
      </c>
      <c r="I967">
        <v>25710</v>
      </c>
      <c r="J967">
        <v>12620726</v>
      </c>
      <c r="K967">
        <v>3238219</v>
      </c>
      <c r="L967">
        <v>503471</v>
      </c>
      <c r="M967">
        <v>26720</v>
      </c>
      <c r="N967">
        <v>1533</v>
      </c>
      <c r="O967">
        <v>12290074</v>
      </c>
      <c r="P967">
        <v>129926</v>
      </c>
      <c r="Q967">
        <v>499570</v>
      </c>
      <c r="R967">
        <v>10593</v>
      </c>
      <c r="S967">
        <v>3839</v>
      </c>
      <c r="T967">
        <v>6058</v>
      </c>
    </row>
    <row r="968" spans="1:20" x14ac:dyDescent="0.2">
      <c r="A968" s="22">
        <v>45893</v>
      </c>
      <c r="B968">
        <v>79416</v>
      </c>
      <c r="C968">
        <v>31493</v>
      </c>
      <c r="D968">
        <v>46735</v>
      </c>
      <c r="E968">
        <v>179</v>
      </c>
      <c r="F968">
        <v>3957275</v>
      </c>
      <c r="G968">
        <v>63480</v>
      </c>
      <c r="H968">
        <v>1468</v>
      </c>
      <c r="I968">
        <v>28466</v>
      </c>
      <c r="J968">
        <v>13291681</v>
      </c>
      <c r="K968">
        <v>3838418</v>
      </c>
      <c r="L968">
        <v>-11</v>
      </c>
      <c r="M968">
        <v>34039</v>
      </c>
      <c r="N968">
        <v>1468</v>
      </c>
      <c r="O968">
        <v>10977706</v>
      </c>
      <c r="P968">
        <v>99504</v>
      </c>
      <c r="Q968">
        <v>511586</v>
      </c>
      <c r="R968">
        <v>8817</v>
      </c>
      <c r="S968">
        <v>4847</v>
      </c>
      <c r="T968">
        <v>6039</v>
      </c>
    </row>
    <row r="969" spans="1:20" x14ac:dyDescent="0.2">
      <c r="A969" s="22">
        <v>45894</v>
      </c>
      <c r="B969">
        <v>73612</v>
      </c>
      <c r="C969">
        <v>32223</v>
      </c>
      <c r="D969">
        <v>44747</v>
      </c>
      <c r="E969">
        <v>127</v>
      </c>
      <c r="F969">
        <v>12195094</v>
      </c>
      <c r="G969">
        <v>174402</v>
      </c>
      <c r="H969">
        <v>2158</v>
      </c>
      <c r="I969">
        <v>43396</v>
      </c>
      <c r="J969">
        <v>15537751</v>
      </c>
      <c r="K969">
        <v>2788538</v>
      </c>
      <c r="L969">
        <v>570081</v>
      </c>
      <c r="M969">
        <v>32611</v>
      </c>
      <c r="N969">
        <v>2158</v>
      </c>
      <c r="O969">
        <v>16604287</v>
      </c>
      <c r="P969">
        <v>164708</v>
      </c>
      <c r="Q969">
        <v>1415437</v>
      </c>
      <c r="R969">
        <v>13646</v>
      </c>
      <c r="S969">
        <v>8508</v>
      </c>
      <c r="T969">
        <v>6757</v>
      </c>
    </row>
    <row r="970" spans="1:20" x14ac:dyDescent="0.2">
      <c r="A970" s="22">
        <v>45895</v>
      </c>
      <c r="B970">
        <v>66324</v>
      </c>
      <c r="C970">
        <v>28453</v>
      </c>
      <c r="D970">
        <v>34277</v>
      </c>
      <c r="E970">
        <v>162</v>
      </c>
      <c r="F970">
        <v>8340283</v>
      </c>
      <c r="G970">
        <v>116572</v>
      </c>
      <c r="H970">
        <v>1860</v>
      </c>
      <c r="I970">
        <v>31424</v>
      </c>
      <c r="J970">
        <v>11307841</v>
      </c>
      <c r="K970">
        <v>2266699</v>
      </c>
      <c r="L970">
        <v>426724</v>
      </c>
      <c r="M970">
        <v>23775</v>
      </c>
      <c r="N970">
        <v>1860</v>
      </c>
      <c r="O970">
        <v>15068760</v>
      </c>
      <c r="P970">
        <v>153704</v>
      </c>
      <c r="Q970">
        <v>1123011</v>
      </c>
      <c r="R970">
        <v>11274</v>
      </c>
      <c r="S970">
        <v>6335</v>
      </c>
      <c r="T970">
        <v>7248</v>
      </c>
    </row>
    <row r="971" spans="1:20" x14ac:dyDescent="0.2">
      <c r="A971" s="22">
        <v>45896</v>
      </c>
      <c r="B971">
        <v>71542</v>
      </c>
      <c r="C971">
        <v>38338</v>
      </c>
      <c r="D971">
        <v>52740</v>
      </c>
      <c r="E971">
        <v>70</v>
      </c>
      <c r="F971">
        <v>7095757</v>
      </c>
      <c r="G971">
        <v>100042</v>
      </c>
      <c r="H971">
        <v>1688</v>
      </c>
      <c r="I971">
        <v>31196</v>
      </c>
      <c r="J971">
        <v>10472315</v>
      </c>
      <c r="K971">
        <v>1852184</v>
      </c>
      <c r="L971">
        <v>405593</v>
      </c>
      <c r="M971">
        <v>21175</v>
      </c>
      <c r="N971">
        <v>1688</v>
      </c>
      <c r="O971">
        <v>9348103</v>
      </c>
      <c r="P971">
        <v>121196</v>
      </c>
      <c r="Q971">
        <v>538056</v>
      </c>
      <c r="R971">
        <v>7649</v>
      </c>
      <c r="S971">
        <v>3965</v>
      </c>
      <c r="T971">
        <v>7248</v>
      </c>
    </row>
    <row r="972" spans="1:20" x14ac:dyDescent="0.2">
      <c r="A972" s="22">
        <v>45897</v>
      </c>
      <c r="B972">
        <v>72773</v>
      </c>
      <c r="C972">
        <v>39158</v>
      </c>
      <c r="D972">
        <v>55475</v>
      </c>
      <c r="E972">
        <v>167</v>
      </c>
      <c r="F972">
        <v>10556789</v>
      </c>
      <c r="G972">
        <v>153702</v>
      </c>
      <c r="H972">
        <v>2689</v>
      </c>
      <c r="I972">
        <v>43197</v>
      </c>
      <c r="J972">
        <v>8248498</v>
      </c>
      <c r="K972">
        <v>1436037</v>
      </c>
      <c r="L972">
        <v>260828</v>
      </c>
      <c r="M972">
        <v>16783</v>
      </c>
      <c r="N972">
        <v>2689</v>
      </c>
      <c r="O972">
        <v>7647289</v>
      </c>
      <c r="P972">
        <v>122005</v>
      </c>
      <c r="Q972">
        <v>427599</v>
      </c>
      <c r="R972">
        <v>7425</v>
      </c>
      <c r="S972">
        <v>2858</v>
      </c>
      <c r="T972">
        <v>7781</v>
      </c>
    </row>
    <row r="973" spans="1:20" x14ac:dyDescent="0.2">
      <c r="A973" s="22">
        <v>45898</v>
      </c>
      <c r="B973">
        <v>66394</v>
      </c>
      <c r="C973">
        <v>30448</v>
      </c>
      <c r="D973">
        <v>39419</v>
      </c>
      <c r="E973">
        <v>134</v>
      </c>
      <c r="F973">
        <v>9788952</v>
      </c>
      <c r="G973">
        <v>129083</v>
      </c>
      <c r="H973">
        <v>2997</v>
      </c>
      <c r="I973">
        <v>37439</v>
      </c>
      <c r="J973">
        <v>15585880</v>
      </c>
      <c r="K973">
        <v>1605996</v>
      </c>
      <c r="L973">
        <v>578643</v>
      </c>
      <c r="M973">
        <v>27334</v>
      </c>
      <c r="N973">
        <v>2997</v>
      </c>
      <c r="O973">
        <v>8853628</v>
      </c>
      <c r="P973">
        <v>124455</v>
      </c>
      <c r="Q973">
        <v>746237</v>
      </c>
      <c r="R973">
        <v>8999</v>
      </c>
      <c r="S973">
        <v>4937</v>
      </c>
      <c r="T973">
        <v>15787</v>
      </c>
    </row>
    <row r="974" spans="1:20" x14ac:dyDescent="0.2">
      <c r="A974" s="22">
        <v>45899</v>
      </c>
      <c r="B974">
        <v>65068</v>
      </c>
      <c r="C974">
        <v>35650</v>
      </c>
      <c r="D974">
        <v>33085</v>
      </c>
      <c r="E974">
        <v>126</v>
      </c>
      <c r="F974">
        <v>6897670</v>
      </c>
      <c r="G974">
        <v>124060</v>
      </c>
      <c r="H974">
        <v>3085</v>
      </c>
      <c r="I974">
        <v>29105</v>
      </c>
      <c r="J974">
        <v>15619335</v>
      </c>
      <c r="K974">
        <v>1492800</v>
      </c>
      <c r="L974">
        <v>658965</v>
      </c>
      <c r="M974">
        <v>28678</v>
      </c>
      <c r="N974">
        <v>3085</v>
      </c>
      <c r="O974">
        <v>6458222</v>
      </c>
      <c r="P974">
        <v>74241</v>
      </c>
      <c r="Q974">
        <v>377746</v>
      </c>
      <c r="R974">
        <v>5635</v>
      </c>
      <c r="S974">
        <v>4030</v>
      </c>
      <c r="T974">
        <v>12382</v>
      </c>
    </row>
    <row r="975" spans="1:20" x14ac:dyDescent="0.2">
      <c r="A975" s="22">
        <v>45900</v>
      </c>
      <c r="B975">
        <v>78698</v>
      </c>
      <c r="C975">
        <v>38311</v>
      </c>
      <c r="D975">
        <v>62537</v>
      </c>
      <c r="E975">
        <v>139</v>
      </c>
      <c r="F975">
        <v>4747992</v>
      </c>
      <c r="G975">
        <v>53088</v>
      </c>
      <c r="H975">
        <v>1768</v>
      </c>
      <c r="I975">
        <v>26168</v>
      </c>
      <c r="J975">
        <v>7819833</v>
      </c>
      <c r="K975">
        <v>1122530</v>
      </c>
      <c r="L975">
        <v>323782</v>
      </c>
      <c r="M975">
        <v>19819</v>
      </c>
      <c r="N975">
        <v>1768</v>
      </c>
      <c r="O975">
        <v>4891398</v>
      </c>
      <c r="P975">
        <v>45309</v>
      </c>
      <c r="Q975">
        <v>190820</v>
      </c>
      <c r="R975">
        <v>3127</v>
      </c>
      <c r="S975">
        <v>1743</v>
      </c>
      <c r="T975">
        <v>14791</v>
      </c>
    </row>
    <row r="976" spans="1:20" x14ac:dyDescent="0.2">
      <c r="A976" s="22">
        <v>45901</v>
      </c>
      <c r="B976">
        <v>74785</v>
      </c>
      <c r="C976">
        <v>36925</v>
      </c>
      <c r="D976">
        <v>41975</v>
      </c>
      <c r="E976">
        <v>144</v>
      </c>
      <c r="F976">
        <v>8728685</v>
      </c>
      <c r="G976">
        <v>108151</v>
      </c>
      <c r="H976">
        <v>1686</v>
      </c>
      <c r="I976">
        <v>38596</v>
      </c>
      <c r="J976">
        <v>14805627</v>
      </c>
      <c r="K976">
        <v>1403930</v>
      </c>
      <c r="L976">
        <v>664159</v>
      </c>
      <c r="M976">
        <v>26215</v>
      </c>
      <c r="N976">
        <v>1686</v>
      </c>
      <c r="O976">
        <v>8498591</v>
      </c>
      <c r="P976">
        <v>129170</v>
      </c>
      <c r="Q976">
        <v>550389</v>
      </c>
      <c r="R976">
        <v>7069</v>
      </c>
      <c r="S976">
        <v>4157</v>
      </c>
      <c r="T976">
        <v>15032</v>
      </c>
    </row>
    <row r="977" spans="1:20" x14ac:dyDescent="0.2">
      <c r="A977" s="22">
        <v>45902</v>
      </c>
      <c r="B977">
        <v>75265</v>
      </c>
      <c r="C977">
        <v>37775</v>
      </c>
      <c r="D977">
        <v>56566</v>
      </c>
      <c r="E977">
        <v>64</v>
      </c>
      <c r="F977">
        <v>9324326</v>
      </c>
      <c r="G977">
        <v>106497</v>
      </c>
      <c r="H977">
        <v>2385</v>
      </c>
      <c r="I977">
        <v>40371</v>
      </c>
      <c r="J977">
        <v>12728035</v>
      </c>
      <c r="K977">
        <v>1432797</v>
      </c>
      <c r="L977">
        <v>496488</v>
      </c>
      <c r="M977">
        <v>22914</v>
      </c>
      <c r="N977">
        <v>2385</v>
      </c>
      <c r="O977">
        <v>9699994</v>
      </c>
      <c r="P977">
        <v>125455</v>
      </c>
      <c r="Q977">
        <v>615249</v>
      </c>
      <c r="R977">
        <v>8169</v>
      </c>
      <c r="S977">
        <v>10301</v>
      </c>
      <c r="T977">
        <v>18827</v>
      </c>
    </row>
    <row r="978" spans="1:20" x14ac:dyDescent="0.2">
      <c r="A978" s="22">
        <v>45903</v>
      </c>
      <c r="B978">
        <v>68589</v>
      </c>
      <c r="C978">
        <v>30744</v>
      </c>
      <c r="D978">
        <v>41052</v>
      </c>
      <c r="E978">
        <v>131</v>
      </c>
      <c r="F978">
        <v>7937537</v>
      </c>
      <c r="G978">
        <v>107857</v>
      </c>
      <c r="H978">
        <v>2225</v>
      </c>
      <c r="I978">
        <v>36849</v>
      </c>
      <c r="J978">
        <v>12068124</v>
      </c>
      <c r="K978">
        <v>1257854</v>
      </c>
      <c r="L978">
        <v>528566</v>
      </c>
      <c r="M978">
        <v>22333</v>
      </c>
      <c r="N978">
        <v>2225</v>
      </c>
      <c r="O978">
        <v>11525137</v>
      </c>
      <c r="P978">
        <v>129478</v>
      </c>
      <c r="Q978">
        <v>874288</v>
      </c>
      <c r="R978">
        <v>10099</v>
      </c>
      <c r="S978">
        <v>9496</v>
      </c>
      <c r="T978">
        <v>20457</v>
      </c>
    </row>
    <row r="979" spans="1:20" x14ac:dyDescent="0.2">
      <c r="A979" s="22">
        <v>45904</v>
      </c>
      <c r="B979">
        <v>66970</v>
      </c>
      <c r="C979">
        <v>33306</v>
      </c>
      <c r="D979">
        <v>41593</v>
      </c>
      <c r="E979">
        <v>127</v>
      </c>
      <c r="F979">
        <v>8355290</v>
      </c>
      <c r="G979">
        <v>133107</v>
      </c>
      <c r="H979">
        <v>2580</v>
      </c>
      <c r="I979">
        <v>35435</v>
      </c>
      <c r="J979">
        <v>4651290</v>
      </c>
      <c r="K979">
        <v>830616</v>
      </c>
      <c r="L979">
        <v>194203</v>
      </c>
      <c r="M979">
        <v>11721</v>
      </c>
      <c r="N979">
        <v>2580</v>
      </c>
      <c r="O979">
        <v>9207917</v>
      </c>
      <c r="P979">
        <v>113847</v>
      </c>
      <c r="Q979">
        <v>603933</v>
      </c>
      <c r="R979">
        <v>8900</v>
      </c>
      <c r="S979">
        <v>5547</v>
      </c>
      <c r="T979">
        <v>22206</v>
      </c>
    </row>
    <row r="980" spans="1:20" x14ac:dyDescent="0.2">
      <c r="A980" s="22">
        <v>45905</v>
      </c>
      <c r="B980">
        <v>78749</v>
      </c>
      <c r="C980">
        <v>29164</v>
      </c>
      <c r="D980">
        <v>48413</v>
      </c>
      <c r="E980">
        <v>87</v>
      </c>
      <c r="F980">
        <v>8616520</v>
      </c>
      <c r="G980">
        <v>155699</v>
      </c>
      <c r="H980">
        <v>1980</v>
      </c>
      <c r="I980">
        <v>34369</v>
      </c>
      <c r="J980">
        <v>11995128</v>
      </c>
      <c r="K980">
        <v>1106865</v>
      </c>
      <c r="L980">
        <v>586363</v>
      </c>
      <c r="M980">
        <v>23208</v>
      </c>
      <c r="N980">
        <v>1980</v>
      </c>
      <c r="O980">
        <v>8882555</v>
      </c>
      <c r="P980">
        <v>111093</v>
      </c>
      <c r="Q980">
        <v>412405</v>
      </c>
      <c r="R980">
        <v>6716</v>
      </c>
      <c r="S980">
        <v>3561</v>
      </c>
      <c r="T980">
        <v>16348</v>
      </c>
    </row>
    <row r="981" spans="1:20" x14ac:dyDescent="0.2">
      <c r="A981" s="22">
        <v>45906</v>
      </c>
      <c r="B981">
        <v>66654</v>
      </c>
      <c r="C981">
        <v>32342</v>
      </c>
      <c r="D981">
        <v>51108</v>
      </c>
      <c r="E981">
        <v>73</v>
      </c>
      <c r="F981">
        <v>9708675</v>
      </c>
      <c r="G981">
        <v>122693</v>
      </c>
      <c r="H981">
        <v>2204</v>
      </c>
      <c r="I981">
        <v>33570</v>
      </c>
      <c r="J981">
        <v>8233330</v>
      </c>
      <c r="K981">
        <v>1016464</v>
      </c>
      <c r="L981">
        <v>385502</v>
      </c>
      <c r="M981">
        <v>18332</v>
      </c>
      <c r="N981">
        <v>2204</v>
      </c>
      <c r="O981">
        <v>10058640</v>
      </c>
      <c r="P981">
        <v>145705</v>
      </c>
      <c r="Q981">
        <v>688244</v>
      </c>
      <c r="R981">
        <v>11101</v>
      </c>
      <c r="S981">
        <v>5018</v>
      </c>
      <c r="T981">
        <v>21515</v>
      </c>
    </row>
    <row r="982" spans="1:20" x14ac:dyDescent="0.2">
      <c r="A982" s="22">
        <v>45907</v>
      </c>
      <c r="B982">
        <v>70418</v>
      </c>
      <c r="C982">
        <v>35021</v>
      </c>
      <c r="D982">
        <v>50207</v>
      </c>
      <c r="E982">
        <v>126</v>
      </c>
      <c r="F982">
        <v>6118851</v>
      </c>
      <c r="G982">
        <v>114632</v>
      </c>
      <c r="H982">
        <v>2175</v>
      </c>
      <c r="I982">
        <v>28634</v>
      </c>
      <c r="J982">
        <v>8597730</v>
      </c>
      <c r="K982">
        <v>1262306</v>
      </c>
      <c r="L982">
        <v>435197</v>
      </c>
      <c r="M982">
        <v>17907</v>
      </c>
      <c r="N982">
        <v>2175</v>
      </c>
      <c r="O982">
        <v>12290380</v>
      </c>
      <c r="P982">
        <v>167157</v>
      </c>
      <c r="Q982">
        <v>534085</v>
      </c>
      <c r="R982">
        <v>15117</v>
      </c>
      <c r="S982">
        <v>3380</v>
      </c>
      <c r="T982">
        <v>21427</v>
      </c>
    </row>
    <row r="983" spans="1:20" x14ac:dyDescent="0.2">
      <c r="A983" s="22">
        <v>45908</v>
      </c>
      <c r="B983">
        <v>65497</v>
      </c>
      <c r="C983">
        <v>35380</v>
      </c>
      <c r="D983">
        <v>36665</v>
      </c>
      <c r="E983">
        <v>151</v>
      </c>
      <c r="F983">
        <v>9756730</v>
      </c>
      <c r="G983">
        <v>175640</v>
      </c>
      <c r="H983">
        <v>3063</v>
      </c>
      <c r="I983">
        <v>40662</v>
      </c>
      <c r="J983">
        <v>13821613</v>
      </c>
      <c r="K983">
        <v>1350745</v>
      </c>
      <c r="L983">
        <v>609499</v>
      </c>
      <c r="M983">
        <v>22856</v>
      </c>
      <c r="N983">
        <v>3063</v>
      </c>
      <c r="O983">
        <v>7754162</v>
      </c>
      <c r="P983">
        <v>107061</v>
      </c>
      <c r="Q983">
        <v>343301</v>
      </c>
      <c r="R983">
        <v>9288</v>
      </c>
      <c r="S983">
        <v>2292</v>
      </c>
      <c r="T983">
        <v>14915</v>
      </c>
    </row>
    <row r="984" spans="1:20" x14ac:dyDescent="0.2">
      <c r="A984" s="22">
        <v>45909</v>
      </c>
      <c r="B984">
        <v>78992</v>
      </c>
      <c r="C984">
        <v>34720</v>
      </c>
      <c r="D984">
        <v>51887</v>
      </c>
      <c r="E984">
        <v>70</v>
      </c>
      <c r="F984">
        <v>8111337</v>
      </c>
      <c r="G984">
        <v>132128</v>
      </c>
      <c r="H984">
        <v>2164</v>
      </c>
      <c r="I984">
        <v>35586</v>
      </c>
      <c r="J984">
        <v>7941230</v>
      </c>
      <c r="K984">
        <v>1070440</v>
      </c>
      <c r="L984">
        <v>424510</v>
      </c>
      <c r="M984">
        <v>16418</v>
      </c>
      <c r="N984">
        <v>2164</v>
      </c>
      <c r="O984">
        <v>10965498</v>
      </c>
      <c r="P984">
        <v>171027</v>
      </c>
      <c r="Q984">
        <v>787728</v>
      </c>
      <c r="R984">
        <v>14868</v>
      </c>
      <c r="S984">
        <v>10665</v>
      </c>
      <c r="T984">
        <v>14354</v>
      </c>
    </row>
    <row r="985" spans="1:20" x14ac:dyDescent="0.2">
      <c r="A985" s="22">
        <v>45910</v>
      </c>
      <c r="B985">
        <v>70131</v>
      </c>
      <c r="C985">
        <v>29798</v>
      </c>
      <c r="D985">
        <v>46688</v>
      </c>
      <c r="E985">
        <v>117</v>
      </c>
      <c r="F985">
        <v>6855382</v>
      </c>
      <c r="G985">
        <v>114906</v>
      </c>
      <c r="H985">
        <v>2046</v>
      </c>
      <c r="I985">
        <v>29474</v>
      </c>
      <c r="J985">
        <v>7483295</v>
      </c>
      <c r="K985">
        <v>923357</v>
      </c>
      <c r="L985">
        <v>366472</v>
      </c>
      <c r="M985">
        <v>15812</v>
      </c>
      <c r="N985">
        <v>2046</v>
      </c>
      <c r="O985">
        <v>8365640</v>
      </c>
      <c r="P985">
        <v>125137</v>
      </c>
      <c r="Q985">
        <v>427569</v>
      </c>
      <c r="R985">
        <v>9054</v>
      </c>
      <c r="S985">
        <v>4722</v>
      </c>
      <c r="T985">
        <v>12032</v>
      </c>
    </row>
    <row r="986" spans="1:20" x14ac:dyDescent="0.2">
      <c r="A986" s="22">
        <v>45911</v>
      </c>
      <c r="B986">
        <v>75787</v>
      </c>
      <c r="C986">
        <v>36627</v>
      </c>
      <c r="D986">
        <v>53592</v>
      </c>
      <c r="E986">
        <v>101</v>
      </c>
      <c r="F986">
        <v>9397680</v>
      </c>
      <c r="G986">
        <v>132408</v>
      </c>
      <c r="H986">
        <v>2279</v>
      </c>
      <c r="I986">
        <v>35298</v>
      </c>
      <c r="J986">
        <v>15014168</v>
      </c>
      <c r="K986">
        <v>1278966</v>
      </c>
      <c r="L986">
        <v>623712</v>
      </c>
      <c r="M986">
        <v>26119</v>
      </c>
      <c r="N986">
        <v>2279</v>
      </c>
      <c r="O986">
        <v>7097183</v>
      </c>
      <c r="P986">
        <v>89360</v>
      </c>
      <c r="Q986">
        <v>353228</v>
      </c>
      <c r="R986">
        <v>7857</v>
      </c>
      <c r="S986">
        <v>2990</v>
      </c>
      <c r="T986">
        <v>16530</v>
      </c>
    </row>
    <row r="987" spans="1:20" x14ac:dyDescent="0.2">
      <c r="A987" s="22">
        <v>45912</v>
      </c>
      <c r="B987">
        <v>78901</v>
      </c>
      <c r="C987">
        <v>36555</v>
      </c>
      <c r="D987">
        <v>63107</v>
      </c>
      <c r="E987">
        <v>153</v>
      </c>
      <c r="F987">
        <v>18640908</v>
      </c>
      <c r="G987">
        <v>423511</v>
      </c>
      <c r="H987">
        <v>10048</v>
      </c>
      <c r="I987">
        <v>234829</v>
      </c>
      <c r="J987">
        <v>26130249</v>
      </c>
      <c r="K987">
        <v>1799968</v>
      </c>
      <c r="L987">
        <v>1490060</v>
      </c>
      <c r="M987">
        <v>202504</v>
      </c>
      <c r="N987">
        <v>10048</v>
      </c>
      <c r="O987">
        <v>8530914</v>
      </c>
      <c r="P987">
        <v>122385</v>
      </c>
      <c r="Q987">
        <v>520581</v>
      </c>
      <c r="R987">
        <v>8282</v>
      </c>
      <c r="S987">
        <v>4696</v>
      </c>
      <c r="T987">
        <v>14926</v>
      </c>
    </row>
    <row r="988" spans="1:20" x14ac:dyDescent="0.2">
      <c r="A988" s="22">
        <v>45913</v>
      </c>
      <c r="B988">
        <v>72741</v>
      </c>
      <c r="C988">
        <v>36352</v>
      </c>
      <c r="D988">
        <v>42025</v>
      </c>
      <c r="E988">
        <v>69</v>
      </c>
      <c r="F988">
        <v>10202452</v>
      </c>
      <c r="G988">
        <v>189880</v>
      </c>
      <c r="H988">
        <v>6110</v>
      </c>
      <c r="I988">
        <v>61949</v>
      </c>
      <c r="J988">
        <v>13790049</v>
      </c>
      <c r="K988">
        <v>1312085</v>
      </c>
      <c r="L988">
        <v>697015</v>
      </c>
      <c r="M988">
        <v>43756</v>
      </c>
      <c r="N988">
        <v>6110</v>
      </c>
      <c r="O988">
        <v>7281232</v>
      </c>
      <c r="P988">
        <v>108634</v>
      </c>
      <c r="Q988">
        <v>451035</v>
      </c>
      <c r="R988">
        <v>10364</v>
      </c>
      <c r="S988">
        <v>3174</v>
      </c>
      <c r="T988">
        <v>15543</v>
      </c>
    </row>
    <row r="989" spans="1:20" x14ac:dyDescent="0.2">
      <c r="A989" s="22">
        <v>45914</v>
      </c>
      <c r="B989">
        <v>76352</v>
      </c>
      <c r="C989">
        <v>30453</v>
      </c>
      <c r="D989">
        <v>55933</v>
      </c>
      <c r="E989">
        <v>118</v>
      </c>
      <c r="F989">
        <v>3786718</v>
      </c>
      <c r="G989">
        <v>54504</v>
      </c>
      <c r="H989">
        <v>1980</v>
      </c>
      <c r="I989">
        <v>24215</v>
      </c>
      <c r="J989">
        <v>7369989</v>
      </c>
      <c r="K989">
        <v>1116594</v>
      </c>
      <c r="L989">
        <v>350689</v>
      </c>
      <c r="M989">
        <v>16259</v>
      </c>
      <c r="N989">
        <v>1980</v>
      </c>
      <c r="O989">
        <v>4584392</v>
      </c>
      <c r="P989">
        <v>71820</v>
      </c>
      <c r="Q989">
        <v>276903</v>
      </c>
      <c r="R989">
        <v>7095</v>
      </c>
      <c r="S989">
        <v>4359</v>
      </c>
      <c r="T989">
        <v>12021</v>
      </c>
    </row>
    <row r="990" spans="1:20" x14ac:dyDescent="0.2">
      <c r="A990" s="22">
        <v>45915</v>
      </c>
      <c r="B990">
        <v>69277</v>
      </c>
      <c r="C990">
        <v>28362</v>
      </c>
      <c r="D990">
        <v>36406</v>
      </c>
      <c r="E990">
        <v>71</v>
      </c>
      <c r="F990">
        <v>10038489</v>
      </c>
      <c r="G990">
        <v>155198</v>
      </c>
      <c r="H990">
        <v>3269</v>
      </c>
      <c r="I990">
        <v>34576</v>
      </c>
      <c r="J990">
        <v>17969253</v>
      </c>
      <c r="K990">
        <v>1784932</v>
      </c>
      <c r="L990">
        <v>786861</v>
      </c>
      <c r="M990">
        <v>29527</v>
      </c>
      <c r="N990">
        <v>3269</v>
      </c>
      <c r="O990">
        <v>4045982</v>
      </c>
      <c r="P990">
        <v>73679</v>
      </c>
      <c r="Q990">
        <v>227095</v>
      </c>
      <c r="R990">
        <v>4341</v>
      </c>
      <c r="S990">
        <v>2441</v>
      </c>
      <c r="T990">
        <v>11708</v>
      </c>
    </row>
    <row r="991" spans="1:20" x14ac:dyDescent="0.2">
      <c r="A991" s="22">
        <v>45916</v>
      </c>
      <c r="B991">
        <v>65802</v>
      </c>
      <c r="C991">
        <v>30926</v>
      </c>
      <c r="D991">
        <v>41318</v>
      </c>
      <c r="E991">
        <v>117</v>
      </c>
      <c r="F991">
        <v>14515790</v>
      </c>
      <c r="G991">
        <v>345911</v>
      </c>
      <c r="H991">
        <v>6579</v>
      </c>
      <c r="I991">
        <v>58753</v>
      </c>
      <c r="J991">
        <v>16186657</v>
      </c>
      <c r="K991">
        <v>1699321</v>
      </c>
      <c r="L991">
        <v>713775</v>
      </c>
      <c r="M991">
        <v>29151</v>
      </c>
      <c r="N991">
        <v>6579</v>
      </c>
      <c r="O991">
        <v>5927609</v>
      </c>
      <c r="P991">
        <v>91738</v>
      </c>
      <c r="Q991">
        <v>272827</v>
      </c>
      <c r="R991">
        <v>5444</v>
      </c>
      <c r="S991">
        <v>1973</v>
      </c>
      <c r="T991">
        <v>12416</v>
      </c>
    </row>
    <row r="992" spans="1:20" x14ac:dyDescent="0.2">
      <c r="A992" s="22">
        <v>45917</v>
      </c>
      <c r="B992">
        <v>73690</v>
      </c>
      <c r="C992">
        <v>30235</v>
      </c>
      <c r="D992">
        <v>54999</v>
      </c>
      <c r="E992">
        <v>91</v>
      </c>
      <c r="F992">
        <v>15722421</v>
      </c>
      <c r="G992">
        <v>247643</v>
      </c>
      <c r="H992">
        <v>5154</v>
      </c>
      <c r="I992">
        <v>65530</v>
      </c>
      <c r="J992">
        <v>18073912</v>
      </c>
      <c r="K992">
        <v>1751539</v>
      </c>
      <c r="L992">
        <v>732633</v>
      </c>
      <c r="M992">
        <v>36686</v>
      </c>
      <c r="N992">
        <v>5154</v>
      </c>
      <c r="O992">
        <v>7941624</v>
      </c>
      <c r="P992">
        <v>94085</v>
      </c>
      <c r="Q992">
        <v>413408</v>
      </c>
      <c r="R992">
        <v>9018</v>
      </c>
      <c r="S992">
        <v>3176</v>
      </c>
      <c r="T992">
        <v>14439</v>
      </c>
    </row>
    <row r="993" spans="1:20" x14ac:dyDescent="0.2">
      <c r="A993" s="22">
        <v>45918</v>
      </c>
      <c r="B993">
        <v>66963</v>
      </c>
      <c r="C993">
        <v>34659</v>
      </c>
      <c r="D993">
        <v>46835</v>
      </c>
      <c r="E993">
        <v>169</v>
      </c>
      <c r="F993">
        <v>16036797</v>
      </c>
      <c r="G993">
        <v>171219</v>
      </c>
      <c r="H993">
        <v>3783</v>
      </c>
      <c r="I993">
        <v>55183</v>
      </c>
      <c r="J993">
        <v>16046594</v>
      </c>
      <c r="K993">
        <v>1398659</v>
      </c>
      <c r="L993">
        <v>503033</v>
      </c>
      <c r="M993">
        <v>28313</v>
      </c>
      <c r="N993">
        <v>3783</v>
      </c>
      <c r="O993">
        <v>8601819</v>
      </c>
      <c r="P993">
        <v>107573</v>
      </c>
      <c r="Q993">
        <v>573645</v>
      </c>
      <c r="R993">
        <v>6710</v>
      </c>
      <c r="S993">
        <v>10975</v>
      </c>
      <c r="T993">
        <v>11937</v>
      </c>
    </row>
    <row r="994" spans="1:20" x14ac:dyDescent="0.2">
      <c r="A994" s="22">
        <v>45919</v>
      </c>
      <c r="B994">
        <v>73653</v>
      </c>
      <c r="C994">
        <v>34993</v>
      </c>
      <c r="D994">
        <v>40391</v>
      </c>
      <c r="E994">
        <v>160</v>
      </c>
      <c r="F994">
        <v>14757914</v>
      </c>
      <c r="G994">
        <v>162356</v>
      </c>
      <c r="H994">
        <v>2730</v>
      </c>
      <c r="I994">
        <v>44206</v>
      </c>
      <c r="J994">
        <v>13040046</v>
      </c>
      <c r="K994">
        <v>1341559</v>
      </c>
      <c r="L994">
        <v>11399</v>
      </c>
      <c r="M994">
        <v>24514</v>
      </c>
      <c r="N994">
        <v>2730</v>
      </c>
      <c r="O994">
        <v>6787370</v>
      </c>
      <c r="P994">
        <v>107073</v>
      </c>
      <c r="Q994">
        <v>547221</v>
      </c>
      <c r="R994">
        <v>6418</v>
      </c>
      <c r="S994">
        <v>6627</v>
      </c>
      <c r="T994">
        <v>9534</v>
      </c>
    </row>
    <row r="995" spans="1:20" x14ac:dyDescent="0.2">
      <c r="A995" s="22">
        <v>45920</v>
      </c>
      <c r="B995">
        <v>70900</v>
      </c>
      <c r="C995">
        <v>35047</v>
      </c>
      <c r="D995">
        <v>52190</v>
      </c>
      <c r="E995">
        <v>78</v>
      </c>
      <c r="F995">
        <v>10376561</v>
      </c>
      <c r="G995">
        <v>132330</v>
      </c>
      <c r="H995">
        <v>2761</v>
      </c>
      <c r="I995">
        <v>34079</v>
      </c>
      <c r="J995">
        <v>8286934</v>
      </c>
      <c r="K995">
        <v>1228099</v>
      </c>
      <c r="L995">
        <v>19054</v>
      </c>
      <c r="M995">
        <v>16194</v>
      </c>
      <c r="N995">
        <v>2761</v>
      </c>
      <c r="O995">
        <v>5469533</v>
      </c>
      <c r="P995">
        <v>76172</v>
      </c>
      <c r="Q995">
        <v>369776</v>
      </c>
      <c r="R995">
        <v>5568</v>
      </c>
      <c r="S995">
        <v>5032</v>
      </c>
      <c r="T995">
        <v>11131</v>
      </c>
    </row>
    <row r="996" spans="1:20" x14ac:dyDescent="0.2">
      <c r="A996" s="22">
        <v>45921</v>
      </c>
      <c r="B996">
        <v>71274</v>
      </c>
      <c r="C996">
        <v>37540</v>
      </c>
      <c r="D996">
        <v>51747</v>
      </c>
      <c r="E996">
        <v>79</v>
      </c>
      <c r="F996">
        <v>3983576</v>
      </c>
      <c r="G996">
        <v>49520</v>
      </c>
      <c r="H996">
        <v>1737</v>
      </c>
      <c r="I996">
        <v>16443</v>
      </c>
      <c r="J996">
        <v>5373750</v>
      </c>
      <c r="K996">
        <v>990228</v>
      </c>
      <c r="L996">
        <v>22792</v>
      </c>
      <c r="M996">
        <v>11680</v>
      </c>
      <c r="N996">
        <v>1737</v>
      </c>
      <c r="O996">
        <v>5896400</v>
      </c>
      <c r="P996">
        <v>82514</v>
      </c>
      <c r="Q996">
        <v>268628</v>
      </c>
      <c r="R996">
        <v>8118</v>
      </c>
      <c r="S996">
        <v>3295</v>
      </c>
      <c r="T996">
        <v>12244</v>
      </c>
    </row>
    <row r="997" spans="1:20" x14ac:dyDescent="0.2">
      <c r="A997" s="22">
        <v>45922</v>
      </c>
      <c r="B997">
        <v>77636</v>
      </c>
      <c r="C997">
        <v>27399</v>
      </c>
      <c r="D997">
        <v>44455</v>
      </c>
      <c r="E997">
        <v>81</v>
      </c>
      <c r="F997">
        <v>9068751</v>
      </c>
      <c r="G997">
        <v>129265</v>
      </c>
      <c r="H997">
        <v>2049</v>
      </c>
      <c r="I997">
        <v>33012</v>
      </c>
      <c r="J997">
        <v>10056144</v>
      </c>
      <c r="K997">
        <v>1262002</v>
      </c>
      <c r="L997">
        <v>190506</v>
      </c>
      <c r="M997">
        <v>18341</v>
      </c>
      <c r="N997">
        <v>2049</v>
      </c>
      <c r="O997">
        <v>6934171</v>
      </c>
      <c r="P997">
        <v>95010</v>
      </c>
      <c r="Q997">
        <v>354813</v>
      </c>
      <c r="R997">
        <v>7411</v>
      </c>
      <c r="S997">
        <v>7845</v>
      </c>
      <c r="T997">
        <v>10150</v>
      </c>
    </row>
    <row r="998" spans="1:20" x14ac:dyDescent="0.2">
      <c r="A998" s="22">
        <v>45923</v>
      </c>
      <c r="B998">
        <v>75455</v>
      </c>
      <c r="C998">
        <v>32743</v>
      </c>
      <c r="D998">
        <v>60163</v>
      </c>
      <c r="E998">
        <v>130</v>
      </c>
      <c r="F998">
        <v>9410310</v>
      </c>
      <c r="G998">
        <v>150789</v>
      </c>
      <c r="H998">
        <v>2164</v>
      </c>
      <c r="I998">
        <v>32659</v>
      </c>
      <c r="J998">
        <v>13009060</v>
      </c>
      <c r="K998">
        <v>1484256</v>
      </c>
      <c r="L998">
        <v>588282</v>
      </c>
      <c r="M998">
        <v>21564</v>
      </c>
      <c r="N998">
        <v>2164</v>
      </c>
      <c r="O998">
        <v>6823604</v>
      </c>
      <c r="P998">
        <v>69550</v>
      </c>
      <c r="Q998">
        <v>393462</v>
      </c>
      <c r="R998">
        <v>6212</v>
      </c>
      <c r="S998">
        <v>4337</v>
      </c>
      <c r="T998">
        <v>9277</v>
      </c>
    </row>
    <row r="999" spans="1:20" x14ac:dyDescent="0.2">
      <c r="A999" s="22">
        <v>45924</v>
      </c>
      <c r="B999">
        <v>71138</v>
      </c>
      <c r="C999">
        <v>28963</v>
      </c>
      <c r="D999">
        <v>44810</v>
      </c>
      <c r="E999">
        <v>98</v>
      </c>
      <c r="F999">
        <v>8696121</v>
      </c>
      <c r="G999">
        <v>127784</v>
      </c>
      <c r="H999">
        <v>1998</v>
      </c>
      <c r="I999">
        <v>32807</v>
      </c>
      <c r="J999">
        <v>14585202</v>
      </c>
      <c r="K999">
        <v>1592198</v>
      </c>
      <c r="L999">
        <v>714480</v>
      </c>
      <c r="M999">
        <v>27096</v>
      </c>
      <c r="N999">
        <v>1998</v>
      </c>
      <c r="O999">
        <v>6935076</v>
      </c>
      <c r="P999">
        <v>66174</v>
      </c>
      <c r="Q999">
        <v>447574</v>
      </c>
      <c r="R999">
        <v>6237</v>
      </c>
      <c r="S999">
        <v>5468</v>
      </c>
      <c r="T999">
        <v>9398</v>
      </c>
    </row>
    <row r="1000" spans="1:20" x14ac:dyDescent="0.2">
      <c r="A1000" s="22">
        <v>45925</v>
      </c>
      <c r="B1000">
        <v>69403</v>
      </c>
      <c r="C1000">
        <v>29648</v>
      </c>
      <c r="D1000">
        <v>52297</v>
      </c>
      <c r="E1000">
        <v>113</v>
      </c>
      <c r="F1000">
        <v>12000749</v>
      </c>
      <c r="G1000">
        <v>171984</v>
      </c>
      <c r="H1000">
        <v>3538</v>
      </c>
      <c r="I1000">
        <v>40276</v>
      </c>
      <c r="J1000">
        <v>11140789</v>
      </c>
      <c r="K1000">
        <v>1603436</v>
      </c>
      <c r="L1000">
        <v>464751</v>
      </c>
      <c r="M1000">
        <v>19744</v>
      </c>
      <c r="N1000">
        <v>3538</v>
      </c>
      <c r="O1000">
        <v>6278971</v>
      </c>
      <c r="P1000">
        <v>75469</v>
      </c>
      <c r="Q1000">
        <v>378908</v>
      </c>
      <c r="R1000">
        <v>8236</v>
      </c>
      <c r="S1000">
        <v>6084</v>
      </c>
      <c r="T1000">
        <v>10866</v>
      </c>
    </row>
    <row r="1001" spans="1:20" x14ac:dyDescent="0.2">
      <c r="A1001" s="22">
        <v>45926</v>
      </c>
      <c r="B1001">
        <v>77577</v>
      </c>
      <c r="C1001">
        <v>32357</v>
      </c>
      <c r="D1001">
        <v>58863</v>
      </c>
      <c r="E1001">
        <v>132</v>
      </c>
      <c r="F1001">
        <v>8079403</v>
      </c>
      <c r="G1001">
        <v>99037</v>
      </c>
      <c r="H1001">
        <v>1808</v>
      </c>
      <c r="I1001">
        <v>29737</v>
      </c>
      <c r="J1001">
        <v>13061772</v>
      </c>
      <c r="K1001">
        <v>1733717</v>
      </c>
      <c r="L1001">
        <v>568430</v>
      </c>
      <c r="M1001">
        <v>20933</v>
      </c>
      <c r="N1001">
        <v>1808</v>
      </c>
      <c r="O1001">
        <v>5683331</v>
      </c>
      <c r="P1001">
        <v>84229</v>
      </c>
      <c r="Q1001">
        <v>278106</v>
      </c>
      <c r="R1001">
        <v>4516</v>
      </c>
      <c r="S1001">
        <v>4785</v>
      </c>
      <c r="T1001">
        <v>7538</v>
      </c>
    </row>
    <row r="1002" spans="1:20" x14ac:dyDescent="0.2">
      <c r="A1002" s="22">
        <v>45927</v>
      </c>
      <c r="B1002">
        <v>73946</v>
      </c>
      <c r="C1002">
        <v>35441</v>
      </c>
      <c r="D1002">
        <v>52763</v>
      </c>
      <c r="E1002">
        <v>162</v>
      </c>
      <c r="F1002">
        <v>4151032</v>
      </c>
      <c r="G1002">
        <v>48981</v>
      </c>
      <c r="H1002">
        <v>1157</v>
      </c>
      <c r="I1002">
        <v>19182</v>
      </c>
      <c r="J1002">
        <v>11033120</v>
      </c>
      <c r="K1002">
        <v>1407695</v>
      </c>
      <c r="L1002">
        <v>422358</v>
      </c>
      <c r="M1002">
        <v>17185</v>
      </c>
      <c r="N1002">
        <v>1157</v>
      </c>
      <c r="O1002">
        <v>5232991</v>
      </c>
      <c r="P1002">
        <v>58973</v>
      </c>
      <c r="Q1002">
        <v>245105</v>
      </c>
      <c r="R1002">
        <v>4071</v>
      </c>
      <c r="S1002">
        <v>4244</v>
      </c>
      <c r="T1002">
        <v>8061</v>
      </c>
    </row>
    <row r="1003" spans="1:20" x14ac:dyDescent="0.2">
      <c r="A1003" s="22">
        <v>45928</v>
      </c>
      <c r="B1003">
        <v>71715</v>
      </c>
      <c r="C1003">
        <v>31634</v>
      </c>
      <c r="D1003">
        <v>56175</v>
      </c>
      <c r="E1003">
        <v>125</v>
      </c>
      <c r="F1003">
        <v>3714265</v>
      </c>
      <c r="G1003">
        <v>39765</v>
      </c>
      <c r="H1003">
        <v>937</v>
      </c>
      <c r="I1003">
        <v>16354</v>
      </c>
      <c r="J1003">
        <v>8242526</v>
      </c>
      <c r="K1003">
        <v>1237111</v>
      </c>
      <c r="L1003">
        <v>299371</v>
      </c>
      <c r="M1003">
        <v>13487</v>
      </c>
      <c r="N1003">
        <v>937</v>
      </c>
      <c r="O1003">
        <v>4546214</v>
      </c>
      <c r="P1003">
        <v>55001</v>
      </c>
      <c r="Q1003">
        <v>235263</v>
      </c>
      <c r="R1003">
        <v>3496</v>
      </c>
      <c r="S1003">
        <v>2818</v>
      </c>
      <c r="T1003">
        <v>8004</v>
      </c>
    </row>
    <row r="1004" spans="1:20" x14ac:dyDescent="0.2">
      <c r="A1004" s="22">
        <v>45929</v>
      </c>
      <c r="B1004">
        <v>74341</v>
      </c>
      <c r="C1004">
        <v>39869</v>
      </c>
      <c r="D1004">
        <v>42670</v>
      </c>
      <c r="E1004">
        <v>83</v>
      </c>
      <c r="F1004">
        <v>15143354</v>
      </c>
      <c r="G1004">
        <v>166911</v>
      </c>
      <c r="H1004">
        <v>2518</v>
      </c>
      <c r="I1004">
        <v>47347</v>
      </c>
      <c r="J1004">
        <v>17290763</v>
      </c>
      <c r="K1004">
        <v>1539114</v>
      </c>
      <c r="L1004">
        <v>680155</v>
      </c>
      <c r="M1004">
        <v>28566</v>
      </c>
      <c r="N1004">
        <v>2518</v>
      </c>
      <c r="O1004">
        <v>4492396</v>
      </c>
      <c r="P1004">
        <v>62361</v>
      </c>
      <c r="Q1004">
        <v>281094</v>
      </c>
      <c r="R1004">
        <v>4104</v>
      </c>
      <c r="S1004">
        <v>3048</v>
      </c>
      <c r="T1004">
        <v>10248</v>
      </c>
    </row>
    <row r="1005" spans="1:20" x14ac:dyDescent="0.2">
      <c r="A1005" s="22">
        <v>45930</v>
      </c>
      <c r="B1005">
        <v>70295</v>
      </c>
      <c r="C1005">
        <v>25741</v>
      </c>
      <c r="D1005">
        <v>41231</v>
      </c>
      <c r="E1005">
        <v>68</v>
      </c>
      <c r="F1005">
        <v>20134053</v>
      </c>
      <c r="G1005">
        <v>221577</v>
      </c>
      <c r="H1005">
        <v>3230</v>
      </c>
      <c r="I1005">
        <v>48782</v>
      </c>
      <c r="J1005">
        <v>17539591</v>
      </c>
      <c r="K1005">
        <v>2070169</v>
      </c>
      <c r="L1005">
        <v>610297</v>
      </c>
      <c r="M1005">
        <v>29908</v>
      </c>
      <c r="N1005">
        <v>3230</v>
      </c>
      <c r="O1005">
        <v>4299518</v>
      </c>
      <c r="P1005">
        <v>58718</v>
      </c>
      <c r="Q1005">
        <v>290971</v>
      </c>
      <c r="R1005">
        <v>3423</v>
      </c>
      <c r="S1005">
        <v>3103</v>
      </c>
      <c r="T1005">
        <v>6274</v>
      </c>
    </row>
    <row r="1006" spans="1:20" x14ac:dyDescent="0.2">
      <c r="A1006" s="22">
        <v>45931</v>
      </c>
      <c r="B1006">
        <v>75169</v>
      </c>
      <c r="C1006">
        <v>35280</v>
      </c>
      <c r="D1006">
        <v>48712</v>
      </c>
      <c r="E1006">
        <v>61</v>
      </c>
      <c r="F1006">
        <v>8544946</v>
      </c>
      <c r="G1006">
        <v>95305</v>
      </c>
      <c r="H1006">
        <v>1890</v>
      </c>
      <c r="I1006">
        <v>25288</v>
      </c>
      <c r="J1006">
        <v>16925485</v>
      </c>
      <c r="K1006">
        <v>3177642</v>
      </c>
      <c r="L1006">
        <v>509329</v>
      </c>
      <c r="M1006">
        <v>22368</v>
      </c>
      <c r="N1006">
        <v>1890</v>
      </c>
      <c r="O1006">
        <v>7002845</v>
      </c>
      <c r="P1006">
        <v>56372</v>
      </c>
      <c r="Q1006">
        <v>322440</v>
      </c>
      <c r="R1006">
        <v>4466</v>
      </c>
      <c r="S1006">
        <v>3157</v>
      </c>
      <c r="T1006">
        <v>4955</v>
      </c>
    </row>
    <row r="1007" spans="1:20" x14ac:dyDescent="0.2">
      <c r="A1007" s="22">
        <v>45932</v>
      </c>
      <c r="B1007">
        <v>74948</v>
      </c>
      <c r="C1007">
        <v>38053</v>
      </c>
      <c r="D1007">
        <v>54565</v>
      </c>
      <c r="E1007">
        <v>102</v>
      </c>
      <c r="F1007">
        <v>6876966</v>
      </c>
      <c r="G1007">
        <v>101456</v>
      </c>
      <c r="H1007">
        <v>1847</v>
      </c>
      <c r="I1007">
        <v>29036</v>
      </c>
      <c r="J1007">
        <v>19716203</v>
      </c>
      <c r="K1007">
        <v>3943655</v>
      </c>
      <c r="L1007">
        <v>613705</v>
      </c>
      <c r="M1007">
        <v>30400</v>
      </c>
      <c r="N1007">
        <v>1847</v>
      </c>
      <c r="O1007">
        <v>14669504</v>
      </c>
      <c r="P1007">
        <v>87847</v>
      </c>
      <c r="Q1007">
        <v>417338</v>
      </c>
      <c r="R1007">
        <v>9970</v>
      </c>
      <c r="S1007">
        <v>2908</v>
      </c>
      <c r="T1007">
        <v>5042</v>
      </c>
    </row>
    <row r="1008" spans="1:20" x14ac:dyDescent="0.2">
      <c r="A1008" s="22">
        <v>45933</v>
      </c>
      <c r="B1008">
        <v>69098</v>
      </c>
      <c r="C1008">
        <v>28666</v>
      </c>
      <c r="D1008">
        <v>54325</v>
      </c>
      <c r="E1008">
        <v>162</v>
      </c>
      <c r="F1008">
        <v>9380965</v>
      </c>
      <c r="G1008">
        <v>113139</v>
      </c>
      <c r="H1008">
        <v>1597</v>
      </c>
      <c r="I1008">
        <v>29475</v>
      </c>
      <c r="J1008">
        <v>13785826</v>
      </c>
      <c r="K1008">
        <v>1956749</v>
      </c>
      <c r="L1008">
        <v>598440</v>
      </c>
      <c r="M1008">
        <v>23087</v>
      </c>
      <c r="N1008">
        <v>1597</v>
      </c>
      <c r="O1008">
        <v>10363836</v>
      </c>
      <c r="P1008">
        <v>105291</v>
      </c>
      <c r="Q1008">
        <v>580022</v>
      </c>
      <c r="R1008">
        <v>7765</v>
      </c>
      <c r="S1008">
        <v>4742</v>
      </c>
      <c r="T1008">
        <v>4824</v>
      </c>
    </row>
    <row r="1009" spans="1:20" x14ac:dyDescent="0.2">
      <c r="A1009" s="22">
        <v>45934</v>
      </c>
      <c r="B1009">
        <v>78669</v>
      </c>
      <c r="C1009">
        <v>36834</v>
      </c>
      <c r="D1009">
        <v>60846</v>
      </c>
      <c r="E1009">
        <v>170</v>
      </c>
      <c r="F1009">
        <v>5697754</v>
      </c>
      <c r="G1009">
        <v>68902</v>
      </c>
      <c r="H1009">
        <v>1122</v>
      </c>
      <c r="I1009">
        <v>22068</v>
      </c>
      <c r="J1009">
        <v>16816947</v>
      </c>
      <c r="K1009">
        <v>1989862</v>
      </c>
      <c r="L1009">
        <v>734179</v>
      </c>
      <c r="M1009">
        <v>26796</v>
      </c>
      <c r="N1009">
        <v>1122</v>
      </c>
      <c r="O1009">
        <v>6865212</v>
      </c>
      <c r="P1009">
        <v>73823</v>
      </c>
      <c r="Q1009">
        <v>402118</v>
      </c>
      <c r="R1009">
        <v>3647</v>
      </c>
      <c r="S1009">
        <v>3233</v>
      </c>
      <c r="T1009">
        <v>4860</v>
      </c>
    </row>
    <row r="1010" spans="1:20" x14ac:dyDescent="0.2">
      <c r="A1010" s="22">
        <v>45935</v>
      </c>
      <c r="B1010">
        <v>70379</v>
      </c>
      <c r="C1010">
        <v>37894</v>
      </c>
      <c r="D1010">
        <v>37603</v>
      </c>
      <c r="E1010">
        <v>113</v>
      </c>
      <c r="F1010">
        <v>5244928</v>
      </c>
      <c r="G1010">
        <v>76910</v>
      </c>
      <c r="H1010">
        <v>1148</v>
      </c>
      <c r="I1010">
        <v>45325</v>
      </c>
      <c r="J1010">
        <v>14574069</v>
      </c>
      <c r="K1010">
        <v>1661121</v>
      </c>
      <c r="L1010">
        <v>539021</v>
      </c>
      <c r="M1010">
        <v>67756</v>
      </c>
      <c r="N1010">
        <v>1148</v>
      </c>
      <c r="O1010">
        <v>5302074</v>
      </c>
      <c r="P1010">
        <v>72178</v>
      </c>
      <c r="Q1010">
        <v>263067</v>
      </c>
      <c r="R1010">
        <v>4393</v>
      </c>
      <c r="S1010">
        <v>2425</v>
      </c>
      <c r="T1010">
        <v>4860</v>
      </c>
    </row>
    <row r="1011" spans="1:20" x14ac:dyDescent="0.2">
      <c r="A1011" s="22">
        <v>45936</v>
      </c>
      <c r="B1011">
        <v>75637</v>
      </c>
      <c r="C1011">
        <v>28914</v>
      </c>
      <c r="D1011">
        <v>47342</v>
      </c>
      <c r="E1011">
        <v>156</v>
      </c>
      <c r="F1011">
        <v>11783956</v>
      </c>
      <c r="G1011">
        <v>153943</v>
      </c>
      <c r="H1011">
        <v>1410</v>
      </c>
      <c r="I1011">
        <v>32111</v>
      </c>
      <c r="J1011">
        <v>20705893</v>
      </c>
      <c r="K1011">
        <v>1779498</v>
      </c>
      <c r="L1011">
        <v>839471</v>
      </c>
      <c r="M1011">
        <v>32812</v>
      </c>
      <c r="N1011">
        <v>1410</v>
      </c>
      <c r="O1011">
        <v>6854877</v>
      </c>
      <c r="P1011">
        <v>118200</v>
      </c>
      <c r="Q1011">
        <v>472942</v>
      </c>
      <c r="R1011">
        <v>6753</v>
      </c>
      <c r="S1011">
        <v>4567</v>
      </c>
      <c r="T1011">
        <v>5203</v>
      </c>
    </row>
    <row r="1012" spans="1:20" x14ac:dyDescent="0.2">
      <c r="A1012" s="22">
        <v>45937</v>
      </c>
      <c r="B1012">
        <v>65194</v>
      </c>
      <c r="C1012">
        <v>28619</v>
      </c>
      <c r="D1012">
        <v>48039</v>
      </c>
      <c r="E1012">
        <v>74</v>
      </c>
      <c r="F1012">
        <v>11632406</v>
      </c>
      <c r="G1012">
        <v>165197</v>
      </c>
      <c r="H1012">
        <v>1682</v>
      </c>
      <c r="I1012">
        <v>32425</v>
      </c>
      <c r="J1012">
        <v>18603732</v>
      </c>
      <c r="K1012">
        <v>1856677</v>
      </c>
      <c r="L1012">
        <v>784581</v>
      </c>
      <c r="M1012">
        <v>36196</v>
      </c>
      <c r="N1012">
        <v>1682</v>
      </c>
      <c r="O1012">
        <v>7083377</v>
      </c>
      <c r="P1012">
        <v>130966</v>
      </c>
      <c r="Q1012">
        <v>497080</v>
      </c>
      <c r="R1012">
        <v>6771</v>
      </c>
      <c r="S1012">
        <v>5312</v>
      </c>
      <c r="T1012">
        <v>6602</v>
      </c>
    </row>
    <row r="1013" spans="1:20" x14ac:dyDescent="0.2">
      <c r="A1013" s="22">
        <v>45938</v>
      </c>
      <c r="B1013">
        <v>70210</v>
      </c>
      <c r="C1013">
        <v>36142</v>
      </c>
      <c r="D1013">
        <v>53888</v>
      </c>
      <c r="E1013">
        <v>173</v>
      </c>
      <c r="F1013">
        <v>12079395</v>
      </c>
      <c r="G1013">
        <v>134641</v>
      </c>
      <c r="H1013">
        <v>1730</v>
      </c>
      <c r="I1013">
        <v>31896</v>
      </c>
      <c r="J1013">
        <v>21731192</v>
      </c>
      <c r="K1013">
        <v>1879409</v>
      </c>
      <c r="L1013">
        <v>818064</v>
      </c>
      <c r="M1013">
        <v>29804</v>
      </c>
      <c r="N1013">
        <v>1730</v>
      </c>
      <c r="O1013">
        <v>8002376</v>
      </c>
      <c r="P1013">
        <v>108088</v>
      </c>
      <c r="Q1013">
        <v>426435</v>
      </c>
      <c r="R1013">
        <v>6443</v>
      </c>
      <c r="S1013">
        <v>3998</v>
      </c>
      <c r="T1013">
        <v>6497</v>
      </c>
    </row>
    <row r="1014" spans="1:20" x14ac:dyDescent="0.2">
      <c r="A1014" s="22">
        <v>45939</v>
      </c>
      <c r="B1014">
        <v>69664</v>
      </c>
      <c r="C1014">
        <v>32180</v>
      </c>
      <c r="D1014">
        <v>51321</v>
      </c>
      <c r="E1014">
        <v>79</v>
      </c>
      <c r="F1014">
        <v>13036159</v>
      </c>
      <c r="G1014">
        <v>156976</v>
      </c>
      <c r="H1014">
        <v>1569</v>
      </c>
      <c r="I1014">
        <v>33040</v>
      </c>
      <c r="J1014">
        <v>13895767</v>
      </c>
      <c r="K1014">
        <v>1701526</v>
      </c>
      <c r="L1014">
        <v>463185</v>
      </c>
      <c r="M1014">
        <v>20197</v>
      </c>
      <c r="N1014">
        <v>1569</v>
      </c>
      <c r="O1014">
        <v>10372765</v>
      </c>
      <c r="P1014">
        <v>106532</v>
      </c>
      <c r="Q1014">
        <v>528439</v>
      </c>
      <c r="R1014">
        <v>7007</v>
      </c>
      <c r="S1014">
        <v>6759</v>
      </c>
      <c r="T1014">
        <v>5434</v>
      </c>
    </row>
    <row r="1015" spans="1:20" x14ac:dyDescent="0.2">
      <c r="A1015" s="22">
        <v>45940</v>
      </c>
      <c r="B1015">
        <v>69923</v>
      </c>
      <c r="C1015">
        <v>37598</v>
      </c>
      <c r="D1015">
        <v>53731</v>
      </c>
      <c r="E1015">
        <v>157</v>
      </c>
      <c r="F1015">
        <v>11029578</v>
      </c>
      <c r="G1015">
        <v>128392</v>
      </c>
      <c r="H1015">
        <v>1428</v>
      </c>
      <c r="I1015">
        <v>28488</v>
      </c>
      <c r="J1015">
        <v>16647777</v>
      </c>
      <c r="K1015">
        <v>1706797</v>
      </c>
      <c r="L1015">
        <v>630919</v>
      </c>
      <c r="M1015">
        <v>26945</v>
      </c>
      <c r="N1015">
        <v>1428</v>
      </c>
      <c r="O1015">
        <v>8100657</v>
      </c>
      <c r="P1015">
        <v>112622</v>
      </c>
      <c r="Q1015">
        <v>447277</v>
      </c>
      <c r="R1015">
        <v>8528</v>
      </c>
      <c r="S1015">
        <v>6174</v>
      </c>
      <c r="T1015">
        <v>4261</v>
      </c>
    </row>
    <row r="1016" spans="1:20" x14ac:dyDescent="0.2">
      <c r="A1016" s="22">
        <v>45941</v>
      </c>
      <c r="B1016">
        <v>72678</v>
      </c>
      <c r="C1016">
        <v>38182</v>
      </c>
      <c r="D1016">
        <v>39208</v>
      </c>
      <c r="E1016">
        <v>81</v>
      </c>
      <c r="F1016">
        <v>7730730</v>
      </c>
      <c r="G1016">
        <v>76134</v>
      </c>
      <c r="H1016">
        <v>995</v>
      </c>
      <c r="I1016">
        <v>25121</v>
      </c>
      <c r="J1016">
        <v>18286015</v>
      </c>
      <c r="K1016">
        <v>1670755</v>
      </c>
      <c r="L1016">
        <v>736402</v>
      </c>
      <c r="M1016">
        <v>28166</v>
      </c>
      <c r="N1016">
        <v>995</v>
      </c>
      <c r="O1016">
        <v>5162364</v>
      </c>
      <c r="P1016">
        <v>61230</v>
      </c>
      <c r="Q1016">
        <v>263350</v>
      </c>
      <c r="R1016">
        <v>4205</v>
      </c>
      <c r="S1016">
        <v>1832</v>
      </c>
      <c r="T1016">
        <v>4443</v>
      </c>
    </row>
    <row r="1017" spans="1:20" x14ac:dyDescent="0.2">
      <c r="A1017" s="22">
        <v>45942</v>
      </c>
      <c r="B1017">
        <v>79953</v>
      </c>
      <c r="C1017">
        <v>29436</v>
      </c>
      <c r="D1017">
        <v>46665</v>
      </c>
      <c r="E1017">
        <v>166</v>
      </c>
      <c r="F1017">
        <v>5143216</v>
      </c>
      <c r="G1017">
        <v>53698</v>
      </c>
      <c r="H1017">
        <v>872</v>
      </c>
      <c r="I1017">
        <v>18598</v>
      </c>
      <c r="J1017">
        <v>11632798</v>
      </c>
      <c r="K1017">
        <v>1416274</v>
      </c>
      <c r="L1017">
        <v>437054</v>
      </c>
      <c r="M1017">
        <v>21160</v>
      </c>
      <c r="N1017">
        <v>872</v>
      </c>
      <c r="O1017">
        <v>3065337</v>
      </c>
      <c r="P1017">
        <v>36820</v>
      </c>
      <c r="Q1017">
        <v>192864</v>
      </c>
      <c r="R1017">
        <v>2245</v>
      </c>
      <c r="S1017">
        <v>2166</v>
      </c>
      <c r="T1017">
        <v>4761</v>
      </c>
    </row>
    <row r="1018" spans="1:20" x14ac:dyDescent="0.2">
      <c r="A1018" s="22">
        <v>45943</v>
      </c>
      <c r="B1018">
        <v>79094</v>
      </c>
      <c r="C1018">
        <v>36109</v>
      </c>
      <c r="D1018">
        <v>59742</v>
      </c>
      <c r="E1018">
        <v>108</v>
      </c>
      <c r="F1018">
        <v>10303687</v>
      </c>
      <c r="G1018">
        <v>128785</v>
      </c>
      <c r="H1018">
        <v>1071</v>
      </c>
      <c r="I1018">
        <v>36471</v>
      </c>
      <c r="J1018">
        <v>18572287</v>
      </c>
      <c r="K1018">
        <v>1536530</v>
      </c>
      <c r="L1018">
        <v>654003</v>
      </c>
      <c r="M1018">
        <v>30042</v>
      </c>
      <c r="N1018">
        <v>1071</v>
      </c>
      <c r="O1018">
        <v>5329199</v>
      </c>
      <c r="P1018">
        <v>85627</v>
      </c>
      <c r="Q1018">
        <v>374164</v>
      </c>
      <c r="R1018">
        <v>3881</v>
      </c>
      <c r="S1018">
        <v>3398</v>
      </c>
      <c r="T1018">
        <v>4413</v>
      </c>
    </row>
    <row r="1019" spans="1:20" x14ac:dyDescent="0.2">
      <c r="A1019" s="22">
        <v>45944</v>
      </c>
      <c r="B1019">
        <v>74096</v>
      </c>
      <c r="C1019">
        <v>28354</v>
      </c>
      <c r="D1019">
        <v>49033</v>
      </c>
      <c r="E1019">
        <v>67</v>
      </c>
      <c r="F1019">
        <v>9232411</v>
      </c>
      <c r="G1019">
        <v>104412</v>
      </c>
      <c r="H1019">
        <v>1131</v>
      </c>
      <c r="I1019">
        <v>29127</v>
      </c>
      <c r="J1019">
        <v>18755714</v>
      </c>
      <c r="K1019">
        <v>1534246</v>
      </c>
      <c r="L1019">
        <v>630932</v>
      </c>
      <c r="M1019">
        <v>26735</v>
      </c>
      <c r="N1019">
        <v>1131</v>
      </c>
      <c r="O1019">
        <v>5084260</v>
      </c>
      <c r="P1019">
        <v>97357</v>
      </c>
      <c r="Q1019">
        <v>311865</v>
      </c>
      <c r="R1019">
        <v>4165</v>
      </c>
      <c r="S1019">
        <v>5242</v>
      </c>
      <c r="T1019">
        <v>4287</v>
      </c>
    </row>
    <row r="1020" spans="1:20" x14ac:dyDescent="0.2">
      <c r="A1020" s="22">
        <v>45945</v>
      </c>
      <c r="B1020">
        <v>72102</v>
      </c>
      <c r="C1020">
        <v>31099</v>
      </c>
      <c r="D1020">
        <v>54016</v>
      </c>
      <c r="E1020">
        <v>98</v>
      </c>
      <c r="F1020">
        <v>10790208</v>
      </c>
      <c r="G1020">
        <v>120075</v>
      </c>
      <c r="H1020">
        <v>1408</v>
      </c>
      <c r="I1020">
        <v>30558</v>
      </c>
      <c r="J1020">
        <v>17575319</v>
      </c>
      <c r="K1020">
        <v>1485406</v>
      </c>
      <c r="L1020">
        <v>608620</v>
      </c>
      <c r="M1020">
        <v>25755</v>
      </c>
      <c r="N1020">
        <v>1408</v>
      </c>
      <c r="O1020">
        <v>4145111</v>
      </c>
      <c r="P1020">
        <v>86433</v>
      </c>
      <c r="Q1020">
        <v>251000</v>
      </c>
      <c r="R1020">
        <v>6053</v>
      </c>
      <c r="S1020">
        <v>5665</v>
      </c>
      <c r="T1020">
        <v>3910</v>
      </c>
    </row>
    <row r="1021" spans="1:20" x14ac:dyDescent="0.2">
      <c r="A1021" s="22">
        <v>45946</v>
      </c>
      <c r="B1021">
        <v>73094</v>
      </c>
      <c r="C1021">
        <v>35962</v>
      </c>
      <c r="D1021">
        <v>57915</v>
      </c>
      <c r="E1021">
        <v>107</v>
      </c>
      <c r="F1021">
        <v>12229519</v>
      </c>
      <c r="G1021">
        <v>135264</v>
      </c>
      <c r="H1021">
        <v>1390</v>
      </c>
      <c r="I1021">
        <v>32651</v>
      </c>
      <c r="J1021">
        <v>13006228</v>
      </c>
      <c r="K1021">
        <v>1334507</v>
      </c>
      <c r="L1021">
        <v>518117</v>
      </c>
      <c r="M1021">
        <v>20911</v>
      </c>
      <c r="N1021">
        <v>1390</v>
      </c>
      <c r="O1021">
        <v>4090688</v>
      </c>
      <c r="P1021">
        <v>65232</v>
      </c>
      <c r="Q1021">
        <v>241654</v>
      </c>
      <c r="R1021">
        <v>5381</v>
      </c>
      <c r="S1021">
        <v>3968</v>
      </c>
      <c r="T1021">
        <v>3846</v>
      </c>
    </row>
    <row r="1022" spans="1:20" x14ac:dyDescent="0.2">
      <c r="A1022" s="22">
        <v>45947</v>
      </c>
      <c r="B1022">
        <v>72362</v>
      </c>
      <c r="C1022">
        <v>39467</v>
      </c>
      <c r="D1022">
        <v>36347</v>
      </c>
      <c r="E1022">
        <v>158</v>
      </c>
      <c r="F1022">
        <v>11223347</v>
      </c>
      <c r="G1022">
        <v>141979</v>
      </c>
      <c r="H1022">
        <v>1586</v>
      </c>
      <c r="I1022">
        <v>30650</v>
      </c>
      <c r="J1022">
        <v>14010149</v>
      </c>
      <c r="K1022">
        <v>1513722</v>
      </c>
      <c r="L1022">
        <v>557677</v>
      </c>
      <c r="M1022">
        <v>21505</v>
      </c>
      <c r="N1022">
        <v>1586</v>
      </c>
      <c r="O1022">
        <v>4803216</v>
      </c>
      <c r="P1022">
        <v>75053</v>
      </c>
      <c r="Q1022">
        <v>339298</v>
      </c>
      <c r="R1022">
        <v>4372</v>
      </c>
      <c r="S1022">
        <v>5601</v>
      </c>
      <c r="T1022">
        <v>3977</v>
      </c>
    </row>
    <row r="1023" spans="1:20" x14ac:dyDescent="0.2">
      <c r="A1023" s="22">
        <v>45948</v>
      </c>
      <c r="B1023">
        <v>69222</v>
      </c>
      <c r="C1023">
        <v>34320</v>
      </c>
      <c r="D1023">
        <v>52145</v>
      </c>
      <c r="E1023">
        <v>98</v>
      </c>
      <c r="F1023">
        <v>14135831</v>
      </c>
      <c r="G1023">
        <v>194763</v>
      </c>
      <c r="H1023">
        <v>3560</v>
      </c>
      <c r="I1023">
        <v>83260</v>
      </c>
      <c r="J1023">
        <v>18522498</v>
      </c>
      <c r="K1023">
        <v>1844433</v>
      </c>
      <c r="L1023">
        <v>686997</v>
      </c>
      <c r="M1023">
        <v>49776</v>
      </c>
      <c r="N1023">
        <v>3560</v>
      </c>
      <c r="O1023">
        <v>8104481</v>
      </c>
      <c r="P1023">
        <v>85815</v>
      </c>
      <c r="Q1023">
        <v>655741</v>
      </c>
      <c r="R1023">
        <v>7420</v>
      </c>
      <c r="S1023">
        <v>6326</v>
      </c>
      <c r="T1023">
        <v>4564</v>
      </c>
    </row>
    <row r="1024" spans="1:20" x14ac:dyDescent="0.2">
      <c r="A1024" s="22">
        <v>45949</v>
      </c>
      <c r="B1024">
        <v>67362</v>
      </c>
      <c r="C1024">
        <v>36022</v>
      </c>
      <c r="D1024">
        <v>33838</v>
      </c>
      <c r="E1024">
        <v>144</v>
      </c>
      <c r="F1024">
        <v>6494217</v>
      </c>
      <c r="G1024">
        <v>80423</v>
      </c>
      <c r="H1024">
        <v>1923</v>
      </c>
      <c r="I1024">
        <v>30785</v>
      </c>
      <c r="J1024">
        <v>13815650</v>
      </c>
      <c r="K1024">
        <v>2179192</v>
      </c>
      <c r="L1024">
        <v>442774</v>
      </c>
      <c r="M1024">
        <v>27707</v>
      </c>
      <c r="N1024">
        <v>1923</v>
      </c>
      <c r="O1024">
        <v>6857706</v>
      </c>
      <c r="P1024">
        <v>55649</v>
      </c>
      <c r="Q1024">
        <v>405361</v>
      </c>
      <c r="R1024">
        <v>5152</v>
      </c>
      <c r="S1024">
        <v>3939</v>
      </c>
      <c r="T1024">
        <v>4528</v>
      </c>
    </row>
    <row r="1025" spans="1:20" x14ac:dyDescent="0.2">
      <c r="A1025" s="22">
        <v>45950</v>
      </c>
      <c r="B1025">
        <v>72917</v>
      </c>
      <c r="C1025">
        <v>38857</v>
      </c>
      <c r="D1025">
        <v>41783</v>
      </c>
      <c r="E1025">
        <v>176</v>
      </c>
      <c r="F1025">
        <v>15482242</v>
      </c>
      <c r="G1025">
        <v>197011</v>
      </c>
      <c r="H1025">
        <v>2484</v>
      </c>
      <c r="I1025">
        <v>51381</v>
      </c>
      <c r="J1025">
        <v>21290902</v>
      </c>
      <c r="K1025">
        <v>2714211</v>
      </c>
      <c r="L1025">
        <v>781964</v>
      </c>
      <c r="M1025">
        <v>34363</v>
      </c>
      <c r="N1025">
        <v>2484</v>
      </c>
      <c r="O1025">
        <v>4143879</v>
      </c>
      <c r="P1025">
        <v>75239</v>
      </c>
      <c r="Q1025">
        <v>326475</v>
      </c>
      <c r="R1025">
        <v>4116</v>
      </c>
      <c r="S1025">
        <v>3519</v>
      </c>
      <c r="T1025">
        <v>3636</v>
      </c>
    </row>
    <row r="1026" spans="1:20" x14ac:dyDescent="0.2">
      <c r="A1026" s="22">
        <v>45951</v>
      </c>
      <c r="B1026">
        <v>68977</v>
      </c>
      <c r="C1026">
        <v>37101</v>
      </c>
      <c r="D1026">
        <v>44230</v>
      </c>
      <c r="E1026">
        <v>172</v>
      </c>
      <c r="F1026">
        <v>17727483</v>
      </c>
      <c r="G1026">
        <v>228261</v>
      </c>
      <c r="H1026">
        <v>2652</v>
      </c>
      <c r="I1026">
        <v>47326</v>
      </c>
      <c r="J1026">
        <v>19539077</v>
      </c>
      <c r="K1026">
        <v>2160322</v>
      </c>
      <c r="L1026">
        <v>626095</v>
      </c>
      <c r="M1026">
        <v>26545</v>
      </c>
      <c r="N1026">
        <v>2652</v>
      </c>
      <c r="O1026">
        <v>5588224</v>
      </c>
      <c r="P1026">
        <v>89826</v>
      </c>
      <c r="Q1026">
        <v>424887</v>
      </c>
      <c r="R1026">
        <v>4790</v>
      </c>
      <c r="S1026">
        <v>4268</v>
      </c>
      <c r="T1026">
        <v>4383</v>
      </c>
    </row>
    <row r="1027" spans="1:20" x14ac:dyDescent="0.2">
      <c r="A1027" s="22">
        <v>45952</v>
      </c>
      <c r="B1027">
        <v>72961</v>
      </c>
      <c r="C1027">
        <v>39935</v>
      </c>
      <c r="D1027">
        <v>39272</v>
      </c>
      <c r="E1027">
        <v>159</v>
      </c>
      <c r="F1027">
        <v>12922684</v>
      </c>
      <c r="G1027">
        <v>164853</v>
      </c>
      <c r="H1027">
        <v>1735</v>
      </c>
      <c r="I1027">
        <v>38576</v>
      </c>
      <c r="J1027">
        <v>18530421</v>
      </c>
      <c r="K1027">
        <v>1863959</v>
      </c>
      <c r="L1027">
        <v>614449</v>
      </c>
      <c r="M1027">
        <v>26309</v>
      </c>
      <c r="N1027">
        <v>1735</v>
      </c>
      <c r="O1027">
        <v>5133657</v>
      </c>
      <c r="P1027">
        <v>72337</v>
      </c>
      <c r="Q1027">
        <v>379539</v>
      </c>
      <c r="R1027">
        <v>5045</v>
      </c>
      <c r="S1027">
        <v>5359</v>
      </c>
      <c r="T1027">
        <v>5940</v>
      </c>
    </row>
    <row r="1028" spans="1:20" x14ac:dyDescent="0.2">
      <c r="A1028" s="22">
        <v>45953</v>
      </c>
      <c r="B1028">
        <v>75081</v>
      </c>
      <c r="C1028">
        <v>33523</v>
      </c>
      <c r="D1028">
        <v>38333</v>
      </c>
      <c r="E1028">
        <v>139</v>
      </c>
      <c r="F1028">
        <v>13205456</v>
      </c>
      <c r="G1028">
        <v>167328</v>
      </c>
      <c r="H1028">
        <v>1716</v>
      </c>
      <c r="I1028">
        <v>36619</v>
      </c>
      <c r="J1028">
        <v>19891402</v>
      </c>
      <c r="K1028">
        <v>1777502</v>
      </c>
      <c r="L1028">
        <v>697875</v>
      </c>
      <c r="M1028">
        <v>26600</v>
      </c>
      <c r="N1028">
        <v>1716</v>
      </c>
      <c r="O1028">
        <v>5134095</v>
      </c>
      <c r="P1028">
        <v>66285</v>
      </c>
      <c r="Q1028">
        <v>299333</v>
      </c>
      <c r="R1028">
        <v>4770</v>
      </c>
      <c r="S1028">
        <v>3579</v>
      </c>
      <c r="T1028">
        <v>4524</v>
      </c>
    </row>
    <row r="1029" spans="1:20" x14ac:dyDescent="0.2">
      <c r="A1029" s="22">
        <v>45954</v>
      </c>
      <c r="B1029">
        <v>67513</v>
      </c>
      <c r="C1029">
        <v>32632</v>
      </c>
      <c r="D1029">
        <v>45512</v>
      </c>
      <c r="E1029">
        <v>152</v>
      </c>
      <c r="F1029">
        <v>17193950</v>
      </c>
      <c r="G1029">
        <v>213373</v>
      </c>
      <c r="H1029">
        <v>2068</v>
      </c>
      <c r="I1029">
        <v>39899</v>
      </c>
      <c r="J1029">
        <v>16869150</v>
      </c>
      <c r="K1029">
        <v>2112000</v>
      </c>
      <c r="L1029">
        <v>460505</v>
      </c>
      <c r="M1029">
        <v>19040</v>
      </c>
      <c r="N1029">
        <v>2068</v>
      </c>
      <c r="O1029">
        <v>4533302</v>
      </c>
      <c r="P1029">
        <v>69762</v>
      </c>
      <c r="Q1029">
        <v>253206</v>
      </c>
      <c r="R1029">
        <v>4573</v>
      </c>
      <c r="S1029">
        <v>4366</v>
      </c>
      <c r="T1029">
        <v>3415</v>
      </c>
    </row>
    <row r="1030" spans="1:20" x14ac:dyDescent="0.2">
      <c r="A1030" s="22">
        <v>45955</v>
      </c>
      <c r="B1030">
        <v>68973</v>
      </c>
      <c r="C1030">
        <v>29108</v>
      </c>
      <c r="D1030">
        <v>54642</v>
      </c>
      <c r="E1030">
        <v>150</v>
      </c>
      <c r="F1030">
        <v>14977090</v>
      </c>
      <c r="G1030">
        <v>183603</v>
      </c>
      <c r="H1030">
        <v>1779</v>
      </c>
      <c r="I1030">
        <v>38603</v>
      </c>
      <c r="J1030">
        <v>22538778</v>
      </c>
      <c r="K1030">
        <v>2722254</v>
      </c>
      <c r="L1030">
        <v>728470</v>
      </c>
      <c r="M1030">
        <v>27346</v>
      </c>
      <c r="N1030">
        <v>1779</v>
      </c>
      <c r="O1030">
        <v>4265487</v>
      </c>
      <c r="P1030">
        <v>53850</v>
      </c>
      <c r="Q1030">
        <v>211334</v>
      </c>
      <c r="R1030">
        <v>3904</v>
      </c>
      <c r="S1030">
        <v>5936</v>
      </c>
      <c r="T1030">
        <v>3296</v>
      </c>
    </row>
    <row r="1031" spans="1:20" x14ac:dyDescent="0.2">
      <c r="A1031" s="22">
        <v>45956</v>
      </c>
      <c r="B1031">
        <v>76657</v>
      </c>
      <c r="C1031">
        <v>39829</v>
      </c>
      <c r="D1031">
        <v>56902</v>
      </c>
      <c r="E1031">
        <v>107</v>
      </c>
      <c r="F1031">
        <v>5868139</v>
      </c>
      <c r="G1031">
        <v>71398</v>
      </c>
      <c r="H1031">
        <v>1251</v>
      </c>
      <c r="I1031">
        <v>16638</v>
      </c>
      <c r="J1031">
        <v>15801849</v>
      </c>
      <c r="K1031">
        <v>2261118</v>
      </c>
      <c r="L1031">
        <v>348509</v>
      </c>
      <c r="M1031">
        <v>15699</v>
      </c>
      <c r="N1031">
        <v>1251</v>
      </c>
      <c r="O1031">
        <v>3211282</v>
      </c>
      <c r="P1031">
        <v>39320</v>
      </c>
      <c r="Q1031">
        <v>161618</v>
      </c>
      <c r="R1031">
        <v>3081</v>
      </c>
      <c r="S1031">
        <v>3927</v>
      </c>
      <c r="T1031">
        <v>2849</v>
      </c>
    </row>
    <row r="1032" spans="1:20" x14ac:dyDescent="0.2">
      <c r="A1032" s="22">
        <v>45957</v>
      </c>
      <c r="B1032">
        <v>74406</v>
      </c>
      <c r="C1032">
        <v>27022</v>
      </c>
      <c r="D1032">
        <v>44207</v>
      </c>
      <c r="E1032">
        <v>169</v>
      </c>
      <c r="F1032">
        <v>18864167</v>
      </c>
      <c r="G1032">
        <v>214349</v>
      </c>
      <c r="H1032">
        <v>2598</v>
      </c>
      <c r="I1032">
        <v>45076</v>
      </c>
      <c r="J1032">
        <v>23141603</v>
      </c>
      <c r="K1032">
        <v>2265327</v>
      </c>
      <c r="L1032">
        <v>835938</v>
      </c>
      <c r="M1032">
        <v>30427</v>
      </c>
      <c r="N1032">
        <v>2598</v>
      </c>
      <c r="O1032">
        <v>3124503</v>
      </c>
      <c r="P1032">
        <v>47253</v>
      </c>
      <c r="Q1032">
        <v>212560</v>
      </c>
      <c r="R1032">
        <v>2243</v>
      </c>
      <c r="S1032">
        <v>3821</v>
      </c>
      <c r="T1032">
        <v>2836</v>
      </c>
    </row>
    <row r="1033" spans="1:20" x14ac:dyDescent="0.2">
      <c r="A1033" s="22">
        <v>45958</v>
      </c>
      <c r="B1033">
        <v>73399</v>
      </c>
      <c r="C1033">
        <v>27198</v>
      </c>
      <c r="D1033">
        <v>45909</v>
      </c>
      <c r="E1033">
        <v>71</v>
      </c>
      <c r="F1033">
        <v>19334116</v>
      </c>
      <c r="G1033">
        <v>236616</v>
      </c>
      <c r="H1033">
        <v>2577</v>
      </c>
      <c r="I1033">
        <v>42753</v>
      </c>
      <c r="J1033">
        <v>18507768</v>
      </c>
      <c r="K1033">
        <v>2091029</v>
      </c>
      <c r="L1033">
        <v>673579</v>
      </c>
      <c r="M1033">
        <v>25240</v>
      </c>
      <c r="N1033">
        <v>2577</v>
      </c>
      <c r="O1033">
        <v>5221814</v>
      </c>
      <c r="P1033">
        <v>65877</v>
      </c>
      <c r="Q1033">
        <v>335538</v>
      </c>
      <c r="R1033">
        <v>5355</v>
      </c>
      <c r="S1033">
        <v>5574</v>
      </c>
      <c r="T1033">
        <v>3862</v>
      </c>
    </row>
    <row r="1034" spans="1:20" x14ac:dyDescent="0.2">
      <c r="A1034" s="22">
        <v>45959</v>
      </c>
      <c r="B1034">
        <v>66705</v>
      </c>
      <c r="C1034">
        <v>33222</v>
      </c>
      <c r="D1034">
        <v>44016</v>
      </c>
      <c r="E1034">
        <v>135</v>
      </c>
      <c r="F1034">
        <v>18025442</v>
      </c>
      <c r="G1034">
        <v>220285</v>
      </c>
      <c r="H1034">
        <v>3014</v>
      </c>
      <c r="I1034">
        <v>46247</v>
      </c>
      <c r="J1034">
        <v>23030828</v>
      </c>
      <c r="K1034">
        <v>2229648</v>
      </c>
      <c r="L1034">
        <v>761240</v>
      </c>
      <c r="M1034">
        <v>29094</v>
      </c>
      <c r="N1034">
        <v>3014</v>
      </c>
      <c r="O1034">
        <v>4416669</v>
      </c>
      <c r="P1034">
        <v>60794</v>
      </c>
      <c r="Q1034">
        <v>241125</v>
      </c>
      <c r="R1034">
        <v>4299</v>
      </c>
      <c r="S1034">
        <v>4122</v>
      </c>
      <c r="T1034">
        <v>4944</v>
      </c>
    </row>
    <row r="1035" spans="1:20" x14ac:dyDescent="0.2">
      <c r="A1035" s="22">
        <v>45960</v>
      </c>
      <c r="B1035">
        <v>65062</v>
      </c>
      <c r="C1035">
        <v>33229</v>
      </c>
      <c r="D1035">
        <v>51966</v>
      </c>
      <c r="E1035">
        <v>166</v>
      </c>
      <c r="F1035">
        <v>13102822</v>
      </c>
      <c r="G1035">
        <v>161630</v>
      </c>
      <c r="H1035">
        <v>2213</v>
      </c>
      <c r="I1035">
        <v>35353</v>
      </c>
      <c r="J1035">
        <v>22126158</v>
      </c>
      <c r="K1035">
        <v>2123821</v>
      </c>
      <c r="L1035">
        <v>621786</v>
      </c>
      <c r="M1035">
        <v>25515</v>
      </c>
      <c r="N1035">
        <v>2213</v>
      </c>
      <c r="O1035">
        <v>4279677</v>
      </c>
      <c r="P1035">
        <v>54738</v>
      </c>
      <c r="Q1035">
        <v>210417</v>
      </c>
      <c r="R1035">
        <v>3902</v>
      </c>
      <c r="S1035">
        <v>4279</v>
      </c>
      <c r="T1035">
        <v>3352</v>
      </c>
    </row>
    <row r="1036" spans="1:20" x14ac:dyDescent="0.2">
      <c r="A1036" s="22">
        <v>45961</v>
      </c>
      <c r="B1036">
        <v>71632</v>
      </c>
      <c r="C1036">
        <v>33428</v>
      </c>
      <c r="D1036">
        <v>50905</v>
      </c>
      <c r="E1036">
        <v>83</v>
      </c>
      <c r="F1036">
        <v>16714074</v>
      </c>
      <c r="G1036">
        <v>199570</v>
      </c>
      <c r="H1036">
        <v>2535</v>
      </c>
      <c r="I1036">
        <v>41985</v>
      </c>
      <c r="J1036">
        <v>19276557</v>
      </c>
      <c r="K1036">
        <v>2029536</v>
      </c>
      <c r="L1036">
        <v>446835</v>
      </c>
      <c r="M1036">
        <v>20419</v>
      </c>
      <c r="N1036">
        <v>2535</v>
      </c>
      <c r="O1036">
        <v>4185687</v>
      </c>
      <c r="P1036">
        <v>74173</v>
      </c>
      <c r="Q1036">
        <v>226608</v>
      </c>
      <c r="R1036">
        <v>3246</v>
      </c>
      <c r="S1036">
        <v>3487</v>
      </c>
      <c r="T1036">
        <v>2788</v>
      </c>
    </row>
    <row r="1037" spans="1:20" x14ac:dyDescent="0.2">
      <c r="A1037" s="22">
        <v>45962</v>
      </c>
      <c r="B1037">
        <v>76383</v>
      </c>
      <c r="C1037">
        <v>39657</v>
      </c>
      <c r="D1037">
        <v>57225</v>
      </c>
      <c r="E1037">
        <v>132</v>
      </c>
      <c r="F1037">
        <v>11975272</v>
      </c>
      <c r="G1037">
        <v>155444</v>
      </c>
      <c r="H1037">
        <v>1688</v>
      </c>
      <c r="I1037">
        <v>35280</v>
      </c>
      <c r="J1037">
        <v>20343657</v>
      </c>
      <c r="K1037">
        <v>2254900</v>
      </c>
      <c r="L1037">
        <v>391183</v>
      </c>
      <c r="M1037">
        <v>19544</v>
      </c>
      <c r="N1037">
        <v>1688</v>
      </c>
      <c r="O1037">
        <v>2559636</v>
      </c>
      <c r="P1037">
        <v>44721</v>
      </c>
      <c r="Q1037">
        <v>179381</v>
      </c>
      <c r="R1037">
        <v>1443</v>
      </c>
      <c r="S1037">
        <v>2257</v>
      </c>
      <c r="T1037">
        <v>2204</v>
      </c>
    </row>
    <row r="1038" spans="1:20" x14ac:dyDescent="0.2">
      <c r="A1038" s="22">
        <v>45963</v>
      </c>
      <c r="B1038">
        <v>67528</v>
      </c>
      <c r="C1038">
        <v>34043</v>
      </c>
      <c r="D1038">
        <v>48101</v>
      </c>
      <c r="E1038">
        <v>60</v>
      </c>
      <c r="F1038">
        <v>4678008</v>
      </c>
      <c r="G1038">
        <v>59842</v>
      </c>
      <c r="H1038">
        <v>1205</v>
      </c>
      <c r="I1038">
        <v>20158</v>
      </c>
      <c r="J1038">
        <v>15079617</v>
      </c>
      <c r="K1038">
        <v>1951580</v>
      </c>
      <c r="L1038">
        <v>207409</v>
      </c>
      <c r="M1038">
        <v>13960</v>
      </c>
      <c r="N1038">
        <v>1205</v>
      </c>
      <c r="O1038">
        <v>2391653</v>
      </c>
      <c r="P1038">
        <v>28226</v>
      </c>
      <c r="Q1038">
        <v>156044</v>
      </c>
      <c r="R1038">
        <v>2729</v>
      </c>
      <c r="S1038">
        <v>1645</v>
      </c>
      <c r="T1038">
        <v>2700</v>
      </c>
    </row>
    <row r="1039" spans="1:20" x14ac:dyDescent="0.2">
      <c r="A1039" s="22">
        <v>45964</v>
      </c>
      <c r="B1039">
        <v>71976</v>
      </c>
      <c r="C1039">
        <v>29240</v>
      </c>
      <c r="D1039">
        <v>53823</v>
      </c>
      <c r="E1039">
        <v>149</v>
      </c>
      <c r="F1039">
        <v>11872684</v>
      </c>
      <c r="G1039">
        <v>163612</v>
      </c>
      <c r="H1039">
        <v>2389</v>
      </c>
      <c r="I1039">
        <v>41283</v>
      </c>
      <c r="J1039">
        <v>20652827</v>
      </c>
      <c r="K1039">
        <v>2034374</v>
      </c>
      <c r="L1039">
        <v>589412</v>
      </c>
      <c r="M1039">
        <v>28108</v>
      </c>
      <c r="N1039">
        <v>2389</v>
      </c>
      <c r="O1039">
        <v>4467566</v>
      </c>
      <c r="P1039">
        <v>72628</v>
      </c>
      <c r="Q1039">
        <v>269062</v>
      </c>
      <c r="R1039">
        <v>5087</v>
      </c>
      <c r="S1039">
        <v>6275</v>
      </c>
      <c r="T1039">
        <v>2475</v>
      </c>
    </row>
    <row r="1040" spans="1:20" x14ac:dyDescent="0.2">
      <c r="A1040" s="22">
        <v>45965</v>
      </c>
      <c r="B1040">
        <v>75454</v>
      </c>
      <c r="C1040">
        <v>36617</v>
      </c>
      <c r="D1040">
        <v>56742</v>
      </c>
      <c r="E1040">
        <v>108</v>
      </c>
      <c r="F1040">
        <v>14406616</v>
      </c>
      <c r="G1040">
        <v>188958</v>
      </c>
      <c r="H1040">
        <v>2421</v>
      </c>
      <c r="I1040">
        <v>43416</v>
      </c>
      <c r="J1040">
        <v>20753777</v>
      </c>
      <c r="K1040">
        <v>1944938</v>
      </c>
      <c r="L1040">
        <v>688017</v>
      </c>
      <c r="M1040">
        <v>26182</v>
      </c>
      <c r="N1040">
        <v>2421</v>
      </c>
      <c r="O1040">
        <v>5699759</v>
      </c>
      <c r="P1040">
        <v>65505</v>
      </c>
      <c r="Q1040">
        <v>318150</v>
      </c>
      <c r="R1040">
        <v>5002</v>
      </c>
      <c r="S1040">
        <v>3854</v>
      </c>
      <c r="T1040">
        <v>2448</v>
      </c>
    </row>
    <row r="1041" spans="1:20" x14ac:dyDescent="0.2">
      <c r="A1041" s="22">
        <v>45966</v>
      </c>
      <c r="B1041">
        <v>67289</v>
      </c>
      <c r="C1041">
        <v>32190</v>
      </c>
      <c r="D1041">
        <v>47271</v>
      </c>
      <c r="E1041">
        <v>139</v>
      </c>
      <c r="F1041">
        <v>16357920</v>
      </c>
      <c r="G1041">
        <v>218525</v>
      </c>
      <c r="H1041">
        <v>2376</v>
      </c>
      <c r="I1041">
        <v>52773</v>
      </c>
      <c r="J1041">
        <v>22591140</v>
      </c>
      <c r="K1041">
        <v>1863607</v>
      </c>
      <c r="L1041">
        <v>798449</v>
      </c>
      <c r="M1041">
        <v>35235</v>
      </c>
      <c r="N1041">
        <v>2376</v>
      </c>
      <c r="O1041">
        <v>7312357</v>
      </c>
      <c r="P1041">
        <v>75693</v>
      </c>
      <c r="Q1041">
        <v>375244</v>
      </c>
      <c r="R1041">
        <v>6120</v>
      </c>
      <c r="S1041">
        <v>4872</v>
      </c>
      <c r="T1041">
        <v>2529</v>
      </c>
    </row>
    <row r="1042" spans="1:20" x14ac:dyDescent="0.2">
      <c r="A1042" s="22">
        <v>45967</v>
      </c>
      <c r="B1042">
        <v>75152</v>
      </c>
      <c r="C1042">
        <v>29678</v>
      </c>
      <c r="D1042">
        <v>55442</v>
      </c>
      <c r="E1042">
        <v>100</v>
      </c>
      <c r="F1042">
        <v>18170654</v>
      </c>
      <c r="G1042">
        <v>255723</v>
      </c>
      <c r="H1042">
        <v>2382</v>
      </c>
      <c r="I1042">
        <v>51981</v>
      </c>
      <c r="J1042">
        <v>18507864</v>
      </c>
      <c r="K1042">
        <v>1850630</v>
      </c>
      <c r="L1042">
        <v>651552</v>
      </c>
      <c r="M1042">
        <v>27620</v>
      </c>
      <c r="N1042">
        <v>2382</v>
      </c>
      <c r="O1042">
        <v>6282046</v>
      </c>
      <c r="P1042">
        <v>71680</v>
      </c>
      <c r="Q1042">
        <v>302993</v>
      </c>
      <c r="R1042">
        <v>5188</v>
      </c>
      <c r="S1042">
        <v>2875</v>
      </c>
      <c r="T1042">
        <v>2764</v>
      </c>
    </row>
    <row r="1043" spans="1:20" x14ac:dyDescent="0.2">
      <c r="A1043" s="22">
        <v>45968</v>
      </c>
      <c r="B1043">
        <v>78830</v>
      </c>
      <c r="C1043">
        <v>36854</v>
      </c>
      <c r="D1043">
        <v>46035</v>
      </c>
      <c r="E1043">
        <v>76</v>
      </c>
      <c r="F1043">
        <v>19223418</v>
      </c>
      <c r="G1043">
        <v>215453</v>
      </c>
      <c r="H1043">
        <v>2792</v>
      </c>
      <c r="I1043">
        <v>55650</v>
      </c>
      <c r="J1043">
        <v>10623544</v>
      </c>
      <c r="K1043">
        <v>1256405</v>
      </c>
      <c r="L1043">
        <v>260106</v>
      </c>
      <c r="M1043">
        <v>17397</v>
      </c>
      <c r="N1043">
        <v>2792</v>
      </c>
      <c r="O1043">
        <v>6175867</v>
      </c>
      <c r="P1043">
        <v>79264</v>
      </c>
      <c r="Q1043">
        <v>315654</v>
      </c>
      <c r="R1043">
        <v>4934</v>
      </c>
      <c r="S1043">
        <v>3008</v>
      </c>
      <c r="T1043">
        <v>2924</v>
      </c>
    </row>
    <row r="1044" spans="1:20" x14ac:dyDescent="0.2">
      <c r="A1044" s="22">
        <v>45969</v>
      </c>
      <c r="B1044">
        <v>78854</v>
      </c>
      <c r="C1044">
        <v>29304</v>
      </c>
      <c r="D1044">
        <v>48652</v>
      </c>
      <c r="E1044">
        <v>172</v>
      </c>
      <c r="F1044">
        <v>9632398</v>
      </c>
      <c r="G1044">
        <v>118913</v>
      </c>
      <c r="H1044">
        <v>1560</v>
      </c>
      <c r="I1044">
        <v>31695</v>
      </c>
      <c r="J1044">
        <v>14932896</v>
      </c>
      <c r="K1044">
        <v>1492990</v>
      </c>
      <c r="L1044">
        <v>311544</v>
      </c>
      <c r="M1044">
        <v>16957</v>
      </c>
      <c r="N1044">
        <v>1560</v>
      </c>
      <c r="O1044">
        <v>3407075</v>
      </c>
      <c r="P1044">
        <v>56066</v>
      </c>
      <c r="Q1044">
        <v>174351</v>
      </c>
      <c r="R1044">
        <v>4336</v>
      </c>
      <c r="S1044">
        <v>2323</v>
      </c>
      <c r="T1044">
        <v>2629</v>
      </c>
    </row>
    <row r="1045" spans="1:20" x14ac:dyDescent="0.2">
      <c r="A1045" s="22">
        <v>45970</v>
      </c>
      <c r="B1045">
        <v>68836</v>
      </c>
      <c r="C1045">
        <v>32450</v>
      </c>
      <c r="D1045">
        <v>38302</v>
      </c>
      <c r="E1045">
        <v>145</v>
      </c>
      <c r="F1045">
        <v>6872106</v>
      </c>
      <c r="G1045">
        <v>94856</v>
      </c>
      <c r="H1045">
        <v>1129</v>
      </c>
      <c r="I1045">
        <v>26645</v>
      </c>
      <c r="J1045">
        <v>18199754</v>
      </c>
      <c r="K1045">
        <v>2249129</v>
      </c>
      <c r="L1045">
        <v>592907</v>
      </c>
      <c r="M1045">
        <v>25225</v>
      </c>
      <c r="N1045">
        <v>1129</v>
      </c>
      <c r="O1045">
        <v>2555206</v>
      </c>
      <c r="P1045">
        <v>31067</v>
      </c>
      <c r="Q1045">
        <v>166860</v>
      </c>
      <c r="R1045">
        <v>2409</v>
      </c>
      <c r="S1045">
        <v>3131</v>
      </c>
      <c r="T1045">
        <v>2758</v>
      </c>
    </row>
    <row r="1046" spans="1:20" x14ac:dyDescent="0.2">
      <c r="A1046" s="22">
        <v>45971</v>
      </c>
      <c r="B1046">
        <v>70008</v>
      </c>
      <c r="C1046">
        <v>34294</v>
      </c>
      <c r="D1046">
        <v>48449</v>
      </c>
      <c r="E1046">
        <v>125</v>
      </c>
      <c r="F1046">
        <v>22076053</v>
      </c>
      <c r="G1046">
        <v>241141</v>
      </c>
      <c r="H1046">
        <v>2270</v>
      </c>
      <c r="I1046">
        <v>60107</v>
      </c>
      <c r="J1046">
        <v>17687107</v>
      </c>
      <c r="K1046">
        <v>1975152</v>
      </c>
      <c r="L1046">
        <v>511612</v>
      </c>
      <c r="M1046">
        <v>25610</v>
      </c>
      <c r="N1046">
        <v>2270</v>
      </c>
      <c r="O1046">
        <v>3551690</v>
      </c>
      <c r="P1046">
        <v>47038</v>
      </c>
      <c r="Q1046">
        <v>260369</v>
      </c>
      <c r="R1046">
        <v>3513</v>
      </c>
      <c r="S1046">
        <v>4309</v>
      </c>
      <c r="T1046">
        <v>2948</v>
      </c>
    </row>
    <row r="1047" spans="1:20" x14ac:dyDescent="0.2">
      <c r="A1047" s="22">
        <v>45972</v>
      </c>
      <c r="B1047">
        <v>74839</v>
      </c>
      <c r="C1047">
        <v>35571</v>
      </c>
      <c r="D1047">
        <v>42095</v>
      </c>
      <c r="E1047">
        <v>93</v>
      </c>
      <c r="F1047">
        <v>17529478</v>
      </c>
      <c r="G1047">
        <v>236602</v>
      </c>
      <c r="H1047">
        <v>2392</v>
      </c>
      <c r="I1047">
        <v>53919</v>
      </c>
      <c r="J1047">
        <v>19791753</v>
      </c>
      <c r="K1047">
        <v>2615740</v>
      </c>
      <c r="L1047">
        <v>553920</v>
      </c>
      <c r="M1047">
        <v>30997</v>
      </c>
      <c r="N1047">
        <v>2392</v>
      </c>
      <c r="O1047">
        <v>4159835</v>
      </c>
      <c r="P1047">
        <v>77268</v>
      </c>
      <c r="Q1047">
        <v>337690</v>
      </c>
      <c r="R1047">
        <v>3382</v>
      </c>
      <c r="S1047">
        <v>1151</v>
      </c>
      <c r="T1047">
        <v>3125</v>
      </c>
    </row>
    <row r="1048" spans="1:20" x14ac:dyDescent="0.2">
      <c r="A1048" s="22">
        <v>45973</v>
      </c>
      <c r="B1048">
        <v>76983</v>
      </c>
      <c r="C1048">
        <v>40456</v>
      </c>
      <c r="D1048">
        <v>40109</v>
      </c>
      <c r="E1048">
        <v>160</v>
      </c>
      <c r="F1048">
        <v>27651694</v>
      </c>
      <c r="G1048">
        <v>415122</v>
      </c>
      <c r="H1048">
        <v>5692</v>
      </c>
      <c r="I1048">
        <v>70873</v>
      </c>
      <c r="J1048">
        <v>21053660</v>
      </c>
      <c r="K1048">
        <v>2287638</v>
      </c>
      <c r="L1048">
        <v>382603</v>
      </c>
      <c r="M1048">
        <v>22279</v>
      </c>
      <c r="N1048">
        <v>5692</v>
      </c>
      <c r="O1048">
        <v>3515873</v>
      </c>
      <c r="P1048">
        <v>74146</v>
      </c>
      <c r="Q1048">
        <v>212391</v>
      </c>
      <c r="R1048">
        <v>3827</v>
      </c>
      <c r="S1048">
        <v>563</v>
      </c>
      <c r="T1048">
        <v>2914</v>
      </c>
    </row>
    <row r="1049" spans="1:20" x14ac:dyDescent="0.2">
      <c r="A1049" s="22">
        <v>45974</v>
      </c>
      <c r="B1049">
        <v>67378</v>
      </c>
      <c r="C1049">
        <v>31773</v>
      </c>
      <c r="D1049">
        <v>34720</v>
      </c>
      <c r="E1049">
        <v>116</v>
      </c>
      <c r="F1049">
        <v>29256743</v>
      </c>
      <c r="G1049">
        <v>346530</v>
      </c>
      <c r="H1049">
        <v>4275</v>
      </c>
      <c r="I1049">
        <v>85926</v>
      </c>
      <c r="J1049">
        <v>27310390</v>
      </c>
      <c r="K1049">
        <v>2659098</v>
      </c>
      <c r="L1049">
        <v>382122</v>
      </c>
      <c r="M1049">
        <v>34489</v>
      </c>
      <c r="N1049">
        <v>4275</v>
      </c>
      <c r="O1049">
        <v>6149128</v>
      </c>
      <c r="P1049">
        <v>89734</v>
      </c>
      <c r="Q1049">
        <v>340595</v>
      </c>
      <c r="R1049">
        <v>7641</v>
      </c>
      <c r="S1049">
        <v>1090</v>
      </c>
      <c r="T1049">
        <v>2745</v>
      </c>
    </row>
    <row r="1050" spans="1:20" x14ac:dyDescent="0.2">
      <c r="A1050" s="22">
        <v>45975</v>
      </c>
      <c r="B1050">
        <v>66315</v>
      </c>
      <c r="C1050">
        <v>34385</v>
      </c>
      <c r="D1050">
        <v>49127</v>
      </c>
      <c r="E1050">
        <v>146</v>
      </c>
      <c r="F1050">
        <v>18178945</v>
      </c>
      <c r="G1050">
        <v>209899</v>
      </c>
      <c r="H1050">
        <v>2322</v>
      </c>
      <c r="I1050">
        <v>54568</v>
      </c>
      <c r="J1050">
        <v>33635724</v>
      </c>
      <c r="K1050">
        <v>3419094</v>
      </c>
      <c r="L1050">
        <v>565477</v>
      </c>
      <c r="M1050">
        <v>41024</v>
      </c>
      <c r="N1050">
        <v>2322</v>
      </c>
      <c r="O1050">
        <v>7140642</v>
      </c>
      <c r="P1050">
        <v>75848</v>
      </c>
      <c r="Q1050">
        <v>548989</v>
      </c>
      <c r="R1050">
        <v>7724</v>
      </c>
      <c r="S1050">
        <v>1512</v>
      </c>
      <c r="T1050">
        <v>3062</v>
      </c>
    </row>
    <row r="1051" spans="1:20" x14ac:dyDescent="0.2">
      <c r="A1051" s="22">
        <v>45976</v>
      </c>
      <c r="B1051">
        <v>75365</v>
      </c>
      <c r="C1051">
        <v>33773</v>
      </c>
      <c r="D1051">
        <v>39676</v>
      </c>
      <c r="E1051">
        <v>178</v>
      </c>
      <c r="F1051">
        <v>12893768</v>
      </c>
      <c r="G1051">
        <v>181911</v>
      </c>
      <c r="H1051">
        <v>2152</v>
      </c>
      <c r="I1051">
        <v>40751</v>
      </c>
      <c r="J1051">
        <v>23480750</v>
      </c>
      <c r="K1051">
        <v>2386723</v>
      </c>
      <c r="L1051">
        <v>502421</v>
      </c>
      <c r="M1051">
        <v>29475</v>
      </c>
      <c r="N1051">
        <v>2152</v>
      </c>
      <c r="O1051">
        <v>4805734</v>
      </c>
      <c r="P1051">
        <v>51774</v>
      </c>
      <c r="Q1051">
        <v>241947</v>
      </c>
      <c r="R1051">
        <v>4688</v>
      </c>
      <c r="S1051">
        <v>860</v>
      </c>
      <c r="T1051">
        <v>3177</v>
      </c>
    </row>
    <row r="1052" spans="1:20" x14ac:dyDescent="0.2">
      <c r="A1052" s="22">
        <v>45977</v>
      </c>
      <c r="B1052">
        <v>72661</v>
      </c>
      <c r="C1052">
        <v>36501</v>
      </c>
      <c r="D1052">
        <v>55916</v>
      </c>
      <c r="E1052">
        <v>169</v>
      </c>
      <c r="F1052">
        <v>4981505</v>
      </c>
      <c r="G1052">
        <v>64938</v>
      </c>
      <c r="H1052">
        <v>1148</v>
      </c>
      <c r="I1052">
        <v>19666</v>
      </c>
      <c r="J1052">
        <v>12919404</v>
      </c>
      <c r="K1052">
        <v>1798437</v>
      </c>
      <c r="L1052">
        <v>210825</v>
      </c>
      <c r="M1052">
        <v>16249</v>
      </c>
      <c r="N1052">
        <v>1148</v>
      </c>
      <c r="O1052">
        <v>4454363</v>
      </c>
      <c r="P1052">
        <v>43814</v>
      </c>
      <c r="Q1052">
        <v>175716</v>
      </c>
      <c r="R1052">
        <v>4206</v>
      </c>
      <c r="S1052">
        <v>782</v>
      </c>
      <c r="T1052">
        <v>3013</v>
      </c>
    </row>
    <row r="1053" spans="1:20" x14ac:dyDescent="0.2">
      <c r="A1053" s="22">
        <v>45978</v>
      </c>
      <c r="B1053">
        <v>73686</v>
      </c>
      <c r="C1053">
        <v>39559</v>
      </c>
      <c r="D1053">
        <v>41472</v>
      </c>
      <c r="E1053">
        <v>165</v>
      </c>
      <c r="F1053">
        <v>20666410</v>
      </c>
      <c r="G1053">
        <v>266894</v>
      </c>
      <c r="H1053">
        <v>2896</v>
      </c>
      <c r="I1053">
        <v>61544</v>
      </c>
      <c r="J1053">
        <v>16700595</v>
      </c>
      <c r="K1053">
        <v>1831369</v>
      </c>
      <c r="L1053">
        <v>484267</v>
      </c>
      <c r="M1053">
        <v>23256</v>
      </c>
      <c r="N1053">
        <v>2896</v>
      </c>
      <c r="O1053">
        <v>3490803</v>
      </c>
      <c r="P1053">
        <v>42488</v>
      </c>
      <c r="Q1053">
        <v>169963</v>
      </c>
      <c r="R1053">
        <v>3711</v>
      </c>
      <c r="S1053">
        <v>636</v>
      </c>
      <c r="T1053">
        <v>3091</v>
      </c>
    </row>
    <row r="1054" spans="1:20" x14ac:dyDescent="0.2">
      <c r="A1054" s="22">
        <v>45979</v>
      </c>
      <c r="B1054">
        <v>66735</v>
      </c>
      <c r="C1054">
        <v>24666</v>
      </c>
      <c r="D1054">
        <v>43982</v>
      </c>
      <c r="E1054">
        <v>110</v>
      </c>
      <c r="F1054">
        <v>15421113</v>
      </c>
      <c r="G1054">
        <v>185479</v>
      </c>
      <c r="H1054">
        <v>2041</v>
      </c>
      <c r="I1054">
        <v>46233</v>
      </c>
      <c r="J1054">
        <v>19031360</v>
      </c>
      <c r="K1054">
        <v>1949197</v>
      </c>
      <c r="L1054">
        <v>600533</v>
      </c>
      <c r="M1054">
        <v>27621</v>
      </c>
      <c r="N1054">
        <v>2041</v>
      </c>
      <c r="O1054">
        <v>3562997</v>
      </c>
      <c r="P1054">
        <v>54404</v>
      </c>
      <c r="Q1054">
        <v>184121</v>
      </c>
      <c r="R1054">
        <v>5290</v>
      </c>
      <c r="S1054">
        <v>892</v>
      </c>
      <c r="T1054">
        <v>2903</v>
      </c>
    </row>
    <row r="1055" spans="1:20" x14ac:dyDescent="0.2">
      <c r="A1055" s="22">
        <v>45980</v>
      </c>
      <c r="B1055">
        <v>75363</v>
      </c>
      <c r="C1055">
        <v>40527</v>
      </c>
      <c r="D1055">
        <v>46472</v>
      </c>
      <c r="E1055">
        <v>162</v>
      </c>
      <c r="F1055">
        <v>16056554</v>
      </c>
      <c r="G1055">
        <v>198364</v>
      </c>
      <c r="H1055">
        <v>2634</v>
      </c>
      <c r="I1055">
        <v>45969</v>
      </c>
      <c r="J1055">
        <v>16932121</v>
      </c>
      <c r="K1055">
        <v>1618302</v>
      </c>
      <c r="L1055">
        <v>523445</v>
      </c>
      <c r="M1055">
        <v>26350</v>
      </c>
      <c r="N1055">
        <v>2634</v>
      </c>
      <c r="O1055">
        <v>5888982</v>
      </c>
      <c r="P1055">
        <v>83839</v>
      </c>
      <c r="Q1055">
        <v>314431</v>
      </c>
      <c r="R1055">
        <v>7503</v>
      </c>
      <c r="S1055">
        <v>1208</v>
      </c>
      <c r="T1055">
        <v>4496</v>
      </c>
    </row>
    <row r="1056" spans="1:20" x14ac:dyDescent="0.2">
      <c r="A1056" s="22">
        <v>45981</v>
      </c>
      <c r="B1056">
        <v>70417</v>
      </c>
      <c r="C1056">
        <v>32833</v>
      </c>
      <c r="D1056">
        <v>42231</v>
      </c>
      <c r="E1056">
        <v>104</v>
      </c>
      <c r="F1056">
        <v>18298182</v>
      </c>
      <c r="G1056">
        <v>262228</v>
      </c>
      <c r="H1056">
        <v>2843</v>
      </c>
      <c r="I1056">
        <v>52657</v>
      </c>
      <c r="J1056">
        <v>20444205</v>
      </c>
      <c r="K1056">
        <v>1843019</v>
      </c>
      <c r="L1056">
        <v>766270</v>
      </c>
      <c r="M1056">
        <v>32634</v>
      </c>
      <c r="N1056">
        <v>2843</v>
      </c>
      <c r="O1056">
        <v>5928794</v>
      </c>
      <c r="P1056">
        <v>106162</v>
      </c>
      <c r="Q1056">
        <v>335036</v>
      </c>
      <c r="R1056">
        <v>6809</v>
      </c>
      <c r="S1056">
        <v>941</v>
      </c>
      <c r="T1056">
        <v>5770</v>
      </c>
    </row>
    <row r="1057" spans="1:20" x14ac:dyDescent="0.2">
      <c r="A1057" s="22">
        <v>45982</v>
      </c>
      <c r="B1057">
        <v>74438</v>
      </c>
      <c r="C1057">
        <v>31505</v>
      </c>
      <c r="D1057">
        <v>51201</v>
      </c>
      <c r="E1057">
        <v>162</v>
      </c>
      <c r="F1057">
        <v>12109728</v>
      </c>
      <c r="G1057">
        <v>173989</v>
      </c>
      <c r="H1057">
        <v>1491</v>
      </c>
      <c r="I1057">
        <v>40184</v>
      </c>
      <c r="J1057">
        <v>16114778</v>
      </c>
      <c r="K1057">
        <v>1908471</v>
      </c>
      <c r="L1057">
        <v>617174</v>
      </c>
      <c r="M1057">
        <v>25501</v>
      </c>
      <c r="N1057">
        <v>1491</v>
      </c>
      <c r="O1057">
        <v>5916563</v>
      </c>
      <c r="P1057">
        <v>94642</v>
      </c>
      <c r="Q1057">
        <v>303803</v>
      </c>
      <c r="R1057">
        <v>7944</v>
      </c>
      <c r="S1057">
        <v>1110</v>
      </c>
      <c r="T1057">
        <v>5303</v>
      </c>
    </row>
    <row r="1058" spans="1:20" x14ac:dyDescent="0.2">
      <c r="A1058" s="22">
        <v>45983</v>
      </c>
      <c r="B1058">
        <v>66032</v>
      </c>
      <c r="C1058">
        <v>23336</v>
      </c>
      <c r="D1058">
        <v>37189</v>
      </c>
      <c r="E1058">
        <v>94</v>
      </c>
      <c r="F1058">
        <v>8278874</v>
      </c>
      <c r="G1058">
        <v>113656</v>
      </c>
      <c r="H1058">
        <v>1008</v>
      </c>
      <c r="I1058">
        <v>28423</v>
      </c>
      <c r="J1058">
        <v>14829414</v>
      </c>
      <c r="K1058">
        <v>1687794</v>
      </c>
      <c r="L1058">
        <v>503766</v>
      </c>
      <c r="M1058">
        <v>20334</v>
      </c>
      <c r="N1058">
        <v>1008</v>
      </c>
      <c r="O1058">
        <v>4818891</v>
      </c>
      <c r="P1058">
        <v>90039</v>
      </c>
      <c r="Q1058">
        <v>246656</v>
      </c>
      <c r="R1058">
        <v>6181</v>
      </c>
      <c r="S1058">
        <v>846</v>
      </c>
      <c r="T1058">
        <v>4299</v>
      </c>
    </row>
    <row r="1059" spans="1:20" x14ac:dyDescent="0.2">
      <c r="A1059" s="22">
        <v>45984</v>
      </c>
      <c r="B1059">
        <v>79063</v>
      </c>
      <c r="C1059">
        <v>28710</v>
      </c>
      <c r="D1059">
        <v>52138</v>
      </c>
      <c r="E1059">
        <v>112</v>
      </c>
      <c r="F1059">
        <v>3297797</v>
      </c>
      <c r="G1059">
        <v>43209</v>
      </c>
      <c r="H1059">
        <v>709</v>
      </c>
      <c r="I1059">
        <v>14546</v>
      </c>
      <c r="J1059">
        <v>10286978</v>
      </c>
      <c r="K1059">
        <v>1364238</v>
      </c>
      <c r="L1059">
        <v>265978</v>
      </c>
      <c r="M1059">
        <v>14220</v>
      </c>
      <c r="N1059">
        <v>709</v>
      </c>
      <c r="O1059">
        <v>4125460</v>
      </c>
      <c r="P1059">
        <v>70658</v>
      </c>
      <c r="Q1059">
        <v>188114</v>
      </c>
      <c r="R1059">
        <v>4962</v>
      </c>
      <c r="S1059">
        <v>829</v>
      </c>
      <c r="T1059">
        <v>3385</v>
      </c>
    </row>
    <row r="1060" spans="1:20" x14ac:dyDescent="0.2">
      <c r="A1060" s="22">
        <v>45985</v>
      </c>
      <c r="B1060">
        <v>73878</v>
      </c>
      <c r="C1060">
        <v>34283</v>
      </c>
      <c r="D1060">
        <v>37956</v>
      </c>
      <c r="E1060">
        <v>79</v>
      </c>
      <c r="F1060">
        <v>8393031</v>
      </c>
      <c r="G1060">
        <v>124613</v>
      </c>
      <c r="H1060">
        <v>953</v>
      </c>
      <c r="I1060">
        <v>31577</v>
      </c>
      <c r="J1060">
        <v>16108005</v>
      </c>
      <c r="K1060">
        <v>1458017</v>
      </c>
      <c r="L1060">
        <v>575514</v>
      </c>
      <c r="M1060">
        <v>23182</v>
      </c>
      <c r="N1060">
        <v>953</v>
      </c>
      <c r="O1060">
        <v>4489229</v>
      </c>
      <c r="P1060">
        <v>81105</v>
      </c>
      <c r="Q1060">
        <v>267558</v>
      </c>
      <c r="R1060">
        <v>4744</v>
      </c>
      <c r="S1060">
        <v>835</v>
      </c>
      <c r="T1060">
        <v>3161</v>
      </c>
    </row>
    <row r="1061" spans="1:20" x14ac:dyDescent="0.2">
      <c r="A1061" s="22">
        <v>45986</v>
      </c>
      <c r="B1061">
        <v>66418</v>
      </c>
      <c r="C1061">
        <v>36295</v>
      </c>
      <c r="D1061">
        <v>38970</v>
      </c>
      <c r="E1061">
        <v>70</v>
      </c>
      <c r="F1061">
        <v>16072211</v>
      </c>
      <c r="G1061">
        <v>208956</v>
      </c>
      <c r="H1061">
        <v>1478</v>
      </c>
      <c r="I1061">
        <v>39566</v>
      </c>
      <c r="J1061">
        <v>14714980</v>
      </c>
      <c r="K1061">
        <v>1418280</v>
      </c>
      <c r="L1061">
        <v>569766</v>
      </c>
      <c r="M1061">
        <v>21141</v>
      </c>
      <c r="N1061">
        <v>1478</v>
      </c>
      <c r="O1061">
        <v>5916371</v>
      </c>
      <c r="P1061">
        <v>91636</v>
      </c>
      <c r="Q1061">
        <v>369238</v>
      </c>
      <c r="R1061">
        <v>4909</v>
      </c>
      <c r="S1061">
        <v>659</v>
      </c>
      <c r="T1061">
        <v>3856</v>
      </c>
    </row>
    <row r="1062" spans="1:20" x14ac:dyDescent="0.2">
      <c r="A1062" s="22">
        <v>45987</v>
      </c>
      <c r="B1062">
        <v>71095</v>
      </c>
      <c r="C1062">
        <v>29554</v>
      </c>
      <c r="D1062">
        <v>44070</v>
      </c>
      <c r="E1062">
        <v>96</v>
      </c>
      <c r="F1062">
        <v>13776459</v>
      </c>
      <c r="G1062">
        <v>157574</v>
      </c>
      <c r="H1062">
        <v>1254</v>
      </c>
      <c r="I1062">
        <v>35945</v>
      </c>
      <c r="J1062">
        <v>16957944</v>
      </c>
      <c r="K1062">
        <v>1590628</v>
      </c>
      <c r="L1062">
        <v>563900</v>
      </c>
      <c r="M1062">
        <v>23982</v>
      </c>
      <c r="N1062">
        <v>1254</v>
      </c>
      <c r="O1062">
        <v>5412208</v>
      </c>
      <c r="P1062">
        <v>93693</v>
      </c>
      <c r="Q1062">
        <v>341545</v>
      </c>
      <c r="R1062">
        <v>5862</v>
      </c>
      <c r="S1062">
        <v>915</v>
      </c>
      <c r="T1062">
        <v>3484</v>
      </c>
    </row>
    <row r="1063" spans="1:20" x14ac:dyDescent="0.2">
      <c r="A1063" s="22">
        <v>45988</v>
      </c>
      <c r="B1063">
        <v>70208</v>
      </c>
      <c r="C1063">
        <v>38121</v>
      </c>
      <c r="D1063">
        <v>47892</v>
      </c>
      <c r="E1063">
        <v>80</v>
      </c>
      <c r="F1063">
        <v>10416107</v>
      </c>
      <c r="G1063">
        <v>129077</v>
      </c>
      <c r="H1063">
        <v>988</v>
      </c>
      <c r="I1063">
        <v>29275</v>
      </c>
      <c r="J1063">
        <v>17476618</v>
      </c>
      <c r="K1063">
        <v>1731990</v>
      </c>
      <c r="L1063">
        <v>461984</v>
      </c>
      <c r="M1063">
        <v>22674</v>
      </c>
      <c r="N1063">
        <v>988</v>
      </c>
      <c r="O1063">
        <v>5609798</v>
      </c>
      <c r="P1063">
        <v>98919</v>
      </c>
      <c r="Q1063">
        <v>322506</v>
      </c>
      <c r="R1063">
        <v>4472</v>
      </c>
      <c r="S1063">
        <v>668</v>
      </c>
      <c r="T1063">
        <v>3157</v>
      </c>
    </row>
    <row r="1064" spans="1:20" x14ac:dyDescent="0.2">
      <c r="A1064" s="22">
        <v>45989</v>
      </c>
      <c r="B1064">
        <v>78814</v>
      </c>
      <c r="C1064">
        <v>32070</v>
      </c>
      <c r="D1064">
        <v>45751</v>
      </c>
      <c r="E1064">
        <v>125</v>
      </c>
      <c r="F1064">
        <v>8866280</v>
      </c>
      <c r="G1064">
        <v>126041</v>
      </c>
      <c r="H1064">
        <v>996</v>
      </c>
      <c r="I1064">
        <v>30744</v>
      </c>
      <c r="J1064">
        <v>23051948</v>
      </c>
      <c r="K1064">
        <v>1995296</v>
      </c>
      <c r="L1064">
        <v>644949</v>
      </c>
      <c r="M1064">
        <v>30607</v>
      </c>
      <c r="N1064">
        <v>996</v>
      </c>
      <c r="O1064">
        <v>4095264</v>
      </c>
      <c r="P1064">
        <v>76721</v>
      </c>
      <c r="Q1064">
        <v>233330</v>
      </c>
      <c r="R1064">
        <v>4226</v>
      </c>
      <c r="S1064">
        <v>634</v>
      </c>
      <c r="T1064">
        <v>2745</v>
      </c>
    </row>
    <row r="1065" spans="1:20" x14ac:dyDescent="0.2">
      <c r="A1065" s="22">
        <v>45990</v>
      </c>
      <c r="B1065">
        <v>65298</v>
      </c>
      <c r="C1065">
        <v>33516</v>
      </c>
      <c r="D1065">
        <v>40589</v>
      </c>
      <c r="E1065">
        <v>167</v>
      </c>
      <c r="F1065">
        <v>8235869</v>
      </c>
      <c r="G1065">
        <v>106689</v>
      </c>
      <c r="H1065">
        <v>936</v>
      </c>
      <c r="I1065">
        <v>25512</v>
      </c>
      <c r="J1065">
        <v>16052231</v>
      </c>
      <c r="K1065">
        <v>1746405</v>
      </c>
      <c r="L1065">
        <v>384974</v>
      </c>
      <c r="M1065">
        <v>18983</v>
      </c>
      <c r="N1065">
        <v>936</v>
      </c>
      <c r="O1065">
        <v>3712516</v>
      </c>
      <c r="P1065">
        <v>75898</v>
      </c>
      <c r="Q1065">
        <v>278698</v>
      </c>
      <c r="R1065">
        <v>5296</v>
      </c>
      <c r="S1065">
        <v>911</v>
      </c>
      <c r="T1065">
        <v>3191</v>
      </c>
    </row>
    <row r="1066" spans="1:20" x14ac:dyDescent="0.2">
      <c r="A1066" s="22">
        <v>45991</v>
      </c>
      <c r="B1066">
        <v>75127</v>
      </c>
      <c r="C1066">
        <v>26997</v>
      </c>
      <c r="D1066">
        <v>47658</v>
      </c>
      <c r="E1066">
        <v>107</v>
      </c>
      <c r="F1066">
        <v>2745847</v>
      </c>
      <c r="G1066">
        <v>34083</v>
      </c>
      <c r="H1066">
        <v>686</v>
      </c>
      <c r="I1066">
        <v>12641</v>
      </c>
      <c r="J1066">
        <v>10531448</v>
      </c>
      <c r="K1066">
        <v>1354266</v>
      </c>
      <c r="L1066">
        <v>265020</v>
      </c>
      <c r="M1066">
        <v>13426</v>
      </c>
      <c r="N1066">
        <v>686</v>
      </c>
      <c r="O1066">
        <v>2679326</v>
      </c>
      <c r="P1066">
        <v>49985</v>
      </c>
      <c r="Q1066">
        <v>162407</v>
      </c>
      <c r="R1066">
        <v>4545</v>
      </c>
      <c r="S1066">
        <v>535</v>
      </c>
      <c r="T1066">
        <v>3247</v>
      </c>
    </row>
    <row r="1067" spans="1:20" x14ac:dyDescent="0.2">
      <c r="A1067" s="22">
        <v>45992</v>
      </c>
      <c r="B1067">
        <v>78080</v>
      </c>
      <c r="C1067">
        <v>37327</v>
      </c>
      <c r="D1067">
        <v>53317</v>
      </c>
      <c r="E1067">
        <v>163</v>
      </c>
      <c r="F1067">
        <v>16647250</v>
      </c>
      <c r="G1067">
        <v>202108</v>
      </c>
      <c r="H1067">
        <v>1573</v>
      </c>
      <c r="I1067">
        <v>45094</v>
      </c>
      <c r="J1067">
        <v>20424092</v>
      </c>
      <c r="K1067">
        <v>1753712</v>
      </c>
      <c r="L1067">
        <v>799726</v>
      </c>
      <c r="M1067">
        <v>30223</v>
      </c>
      <c r="N1067">
        <v>1573</v>
      </c>
      <c r="O1067">
        <v>3879075</v>
      </c>
      <c r="P1067">
        <v>64262</v>
      </c>
      <c r="Q1067">
        <v>297540</v>
      </c>
      <c r="R1067">
        <v>5031</v>
      </c>
      <c r="S1067">
        <v>893</v>
      </c>
      <c r="T1067">
        <v>2826</v>
      </c>
    </row>
    <row r="1068" spans="1:20" x14ac:dyDescent="0.2">
      <c r="A1068" s="22">
        <v>45993</v>
      </c>
      <c r="B1068">
        <v>66053</v>
      </c>
      <c r="C1068">
        <v>34589</v>
      </c>
      <c r="D1068">
        <v>33967</v>
      </c>
      <c r="E1068">
        <v>89</v>
      </c>
      <c r="F1068">
        <v>11493739</v>
      </c>
      <c r="G1068">
        <v>149693</v>
      </c>
      <c r="H1068">
        <v>1041</v>
      </c>
      <c r="I1068">
        <v>29587</v>
      </c>
      <c r="J1068">
        <v>21165772</v>
      </c>
      <c r="K1068">
        <v>3672897</v>
      </c>
      <c r="L1068">
        <v>726703</v>
      </c>
      <c r="M1068">
        <v>25958</v>
      </c>
      <c r="N1068">
        <v>1041</v>
      </c>
      <c r="O1068">
        <v>6139064</v>
      </c>
      <c r="P1068">
        <v>101491</v>
      </c>
      <c r="Q1068">
        <v>443416</v>
      </c>
      <c r="R1068">
        <v>7488</v>
      </c>
      <c r="S1068">
        <v>1195</v>
      </c>
      <c r="T1068">
        <v>3369</v>
      </c>
    </row>
    <row r="1069" spans="1:20" x14ac:dyDescent="0.2">
      <c r="A1069" s="22">
        <v>45994</v>
      </c>
      <c r="B1069">
        <v>71149</v>
      </c>
      <c r="C1069">
        <v>37035</v>
      </c>
      <c r="D1069">
        <v>53002</v>
      </c>
      <c r="E1069">
        <v>62</v>
      </c>
      <c r="F1069">
        <v>14968153</v>
      </c>
      <c r="G1069">
        <v>245737</v>
      </c>
      <c r="H1069">
        <v>1489</v>
      </c>
      <c r="I1069">
        <v>42195</v>
      </c>
      <c r="J1069">
        <v>15792303</v>
      </c>
      <c r="K1069">
        <v>2719379</v>
      </c>
      <c r="L1069">
        <v>639546</v>
      </c>
      <c r="M1069">
        <v>23138</v>
      </c>
      <c r="N1069">
        <v>1489</v>
      </c>
      <c r="O1069">
        <v>5551684</v>
      </c>
      <c r="P1069">
        <v>116689</v>
      </c>
      <c r="Q1069">
        <v>444147</v>
      </c>
      <c r="R1069">
        <v>5278</v>
      </c>
      <c r="S1069">
        <v>782</v>
      </c>
      <c r="T1069">
        <v>3470</v>
      </c>
    </row>
    <row r="1070" spans="1:20" x14ac:dyDescent="0.2">
      <c r="A1070" s="22">
        <v>45995</v>
      </c>
      <c r="B1070">
        <v>78443</v>
      </c>
      <c r="C1070">
        <v>40324</v>
      </c>
      <c r="D1070">
        <v>61156</v>
      </c>
      <c r="E1070">
        <v>84</v>
      </c>
      <c r="F1070">
        <v>12321655</v>
      </c>
      <c r="G1070">
        <v>149825</v>
      </c>
      <c r="H1070">
        <v>1162</v>
      </c>
      <c r="I1070">
        <v>33196</v>
      </c>
      <c r="J1070">
        <v>9658556</v>
      </c>
      <c r="K1070">
        <v>2415021</v>
      </c>
      <c r="L1070">
        <v>509072</v>
      </c>
      <c r="M1070">
        <v>16296</v>
      </c>
      <c r="N1070">
        <v>1162</v>
      </c>
      <c r="O1070">
        <v>5733132</v>
      </c>
      <c r="P1070">
        <v>125195</v>
      </c>
      <c r="Q1070">
        <v>376053</v>
      </c>
      <c r="R1070">
        <v>7784</v>
      </c>
      <c r="S1070">
        <v>1330</v>
      </c>
      <c r="T1070">
        <v>3626</v>
      </c>
    </row>
    <row r="1071" spans="1:20" x14ac:dyDescent="0.2">
      <c r="A1071" s="22">
        <v>45996</v>
      </c>
      <c r="B1071">
        <v>66415</v>
      </c>
      <c r="C1071">
        <v>29131</v>
      </c>
      <c r="D1071">
        <v>41552</v>
      </c>
      <c r="E1071">
        <v>116</v>
      </c>
      <c r="F1071">
        <v>12679588</v>
      </c>
      <c r="G1071">
        <v>155375</v>
      </c>
      <c r="H1071">
        <v>1442</v>
      </c>
      <c r="I1071">
        <v>35322</v>
      </c>
      <c r="J1071">
        <v>12072778</v>
      </c>
      <c r="K1071">
        <v>1775049</v>
      </c>
      <c r="L1071">
        <v>410773</v>
      </c>
      <c r="M1071">
        <v>19387</v>
      </c>
      <c r="N1071">
        <v>1442</v>
      </c>
      <c r="O1071">
        <v>5912690</v>
      </c>
      <c r="P1071">
        <v>123831</v>
      </c>
      <c r="Q1071">
        <v>451701</v>
      </c>
      <c r="R1071">
        <v>8105</v>
      </c>
      <c r="S1071">
        <v>1652</v>
      </c>
      <c r="T1071">
        <v>4506</v>
      </c>
    </row>
    <row r="1072" spans="1:20" x14ac:dyDescent="0.2">
      <c r="A1072" s="22">
        <v>45997</v>
      </c>
      <c r="B1072">
        <v>76530</v>
      </c>
      <c r="C1072">
        <v>35535</v>
      </c>
      <c r="D1072">
        <v>54886</v>
      </c>
      <c r="E1072">
        <v>74</v>
      </c>
      <c r="F1072">
        <v>8561010</v>
      </c>
      <c r="G1072">
        <v>103502</v>
      </c>
      <c r="H1072">
        <v>940</v>
      </c>
      <c r="I1072">
        <v>23011</v>
      </c>
      <c r="J1072">
        <v>12409581</v>
      </c>
      <c r="K1072">
        <v>1592081</v>
      </c>
      <c r="L1072">
        <v>400738</v>
      </c>
      <c r="M1072">
        <v>16527</v>
      </c>
      <c r="N1072">
        <v>940</v>
      </c>
      <c r="O1072">
        <v>3761330</v>
      </c>
      <c r="P1072">
        <v>90561</v>
      </c>
      <c r="Q1072">
        <v>241167</v>
      </c>
      <c r="R1072">
        <v>4102</v>
      </c>
      <c r="S1072">
        <v>842</v>
      </c>
      <c r="T1072">
        <v>3886</v>
      </c>
    </row>
    <row r="1073" spans="1:20" x14ac:dyDescent="0.2">
      <c r="A1073" s="22">
        <v>45998</v>
      </c>
      <c r="B1073">
        <v>67118</v>
      </c>
      <c r="C1073">
        <v>30223</v>
      </c>
      <c r="D1073">
        <v>45602</v>
      </c>
      <c r="E1073">
        <v>128</v>
      </c>
      <c r="F1073">
        <v>2970694</v>
      </c>
      <c r="G1073">
        <v>38105</v>
      </c>
      <c r="H1073">
        <v>539</v>
      </c>
      <c r="I1073">
        <v>12989</v>
      </c>
      <c r="J1073">
        <v>8978835</v>
      </c>
      <c r="K1073">
        <v>1363667</v>
      </c>
      <c r="L1073">
        <v>290707</v>
      </c>
      <c r="M1073">
        <v>12597</v>
      </c>
      <c r="N1073">
        <v>539</v>
      </c>
      <c r="O1073">
        <v>3005547</v>
      </c>
      <c r="P1073">
        <v>57933</v>
      </c>
      <c r="Q1073">
        <v>136663</v>
      </c>
      <c r="R1073">
        <v>4099</v>
      </c>
      <c r="S1073">
        <v>604</v>
      </c>
      <c r="T1073">
        <v>3301</v>
      </c>
    </row>
    <row r="1074" spans="1:20" x14ac:dyDescent="0.2">
      <c r="A1074" s="22">
        <v>45999</v>
      </c>
      <c r="B1074">
        <v>74726</v>
      </c>
      <c r="C1074">
        <v>40322</v>
      </c>
      <c r="D1074">
        <v>47724</v>
      </c>
      <c r="E1074">
        <v>155</v>
      </c>
      <c r="F1074">
        <v>13902197</v>
      </c>
      <c r="G1074">
        <v>185480</v>
      </c>
      <c r="H1074">
        <v>1448</v>
      </c>
      <c r="I1074">
        <v>29288</v>
      </c>
      <c r="J1074">
        <v>14181774</v>
      </c>
      <c r="K1074">
        <v>2053755</v>
      </c>
      <c r="L1074">
        <v>643078</v>
      </c>
      <c r="M1074">
        <v>20837</v>
      </c>
      <c r="N1074">
        <v>1448</v>
      </c>
      <c r="O1074">
        <v>3992304</v>
      </c>
      <c r="P1074">
        <v>84718</v>
      </c>
      <c r="Q1074">
        <v>218431</v>
      </c>
      <c r="R1074">
        <v>6176</v>
      </c>
      <c r="S1074">
        <v>1095</v>
      </c>
      <c r="T1074">
        <v>3568</v>
      </c>
    </row>
    <row r="1075" spans="1:20" x14ac:dyDescent="0.2">
      <c r="A1075" s="22">
        <v>46000</v>
      </c>
      <c r="B1075">
        <v>78175</v>
      </c>
      <c r="C1075">
        <v>38108</v>
      </c>
      <c r="D1075">
        <v>40002</v>
      </c>
      <c r="E1075">
        <v>112</v>
      </c>
      <c r="F1075">
        <v>11168411</v>
      </c>
      <c r="G1075">
        <v>155559</v>
      </c>
      <c r="H1075">
        <v>1180</v>
      </c>
      <c r="I1075">
        <v>27055</v>
      </c>
      <c r="J1075">
        <v>13264248</v>
      </c>
      <c r="K1075">
        <v>2082829</v>
      </c>
      <c r="L1075">
        <v>635988</v>
      </c>
      <c r="M1075">
        <v>19468</v>
      </c>
      <c r="N1075">
        <v>1180</v>
      </c>
      <c r="O1075">
        <v>4716639</v>
      </c>
      <c r="P1075">
        <v>88065</v>
      </c>
      <c r="Q1075">
        <v>249070</v>
      </c>
      <c r="R1075">
        <v>6471</v>
      </c>
      <c r="S1075">
        <v>1189</v>
      </c>
      <c r="T1075">
        <v>3922</v>
      </c>
    </row>
    <row r="1076" spans="1:20" x14ac:dyDescent="0.2">
      <c r="A1076" s="22">
        <v>46001</v>
      </c>
      <c r="B1076">
        <v>77023</v>
      </c>
      <c r="C1076">
        <v>37054</v>
      </c>
      <c r="D1076">
        <v>48201</v>
      </c>
      <c r="E1076">
        <v>121</v>
      </c>
      <c r="F1076">
        <v>13963121</v>
      </c>
      <c r="G1076">
        <v>234752</v>
      </c>
      <c r="H1076">
        <v>1650</v>
      </c>
      <c r="I1076">
        <v>34709</v>
      </c>
      <c r="J1076">
        <v>12387267</v>
      </c>
      <c r="K1076">
        <v>1480763</v>
      </c>
      <c r="L1076">
        <v>503802</v>
      </c>
      <c r="M1076">
        <v>18725</v>
      </c>
      <c r="N1076">
        <v>1650</v>
      </c>
      <c r="O1076">
        <v>4222208</v>
      </c>
      <c r="P1076">
        <v>90182</v>
      </c>
      <c r="Q1076">
        <v>300951</v>
      </c>
      <c r="R1076">
        <v>5591</v>
      </c>
      <c r="S1076">
        <v>1331</v>
      </c>
      <c r="T1076">
        <v>3640</v>
      </c>
    </row>
    <row r="1077" spans="1:20" x14ac:dyDescent="0.2">
      <c r="A1077" s="22">
        <v>46002</v>
      </c>
      <c r="B1077">
        <v>72403</v>
      </c>
      <c r="C1077">
        <v>38722</v>
      </c>
      <c r="D1077">
        <v>49447</v>
      </c>
      <c r="E1077">
        <v>165</v>
      </c>
      <c r="F1077">
        <v>14438676</v>
      </c>
      <c r="G1077">
        <v>229930</v>
      </c>
      <c r="H1077">
        <v>1801</v>
      </c>
      <c r="I1077">
        <v>33769</v>
      </c>
      <c r="J1077">
        <v>14194658</v>
      </c>
      <c r="K1077">
        <v>1507312</v>
      </c>
      <c r="L1077">
        <v>551943</v>
      </c>
      <c r="M1077">
        <v>23028</v>
      </c>
      <c r="N1077">
        <v>1801</v>
      </c>
      <c r="O1077">
        <v>5416643</v>
      </c>
      <c r="P1077">
        <v>105651</v>
      </c>
      <c r="Q1077">
        <v>374019</v>
      </c>
      <c r="R1077">
        <v>6559</v>
      </c>
      <c r="S1077">
        <v>1914</v>
      </c>
      <c r="T1077">
        <v>3785</v>
      </c>
    </row>
    <row r="1078" spans="1:20" x14ac:dyDescent="0.2">
      <c r="A1078" s="22">
        <v>46003</v>
      </c>
      <c r="B1078">
        <v>78161</v>
      </c>
      <c r="C1078">
        <v>37134</v>
      </c>
      <c r="D1078">
        <v>58802</v>
      </c>
      <c r="E1078">
        <v>143</v>
      </c>
      <c r="F1078">
        <v>20910569</v>
      </c>
      <c r="G1078">
        <v>289452</v>
      </c>
      <c r="H1078">
        <v>2851</v>
      </c>
      <c r="I1078">
        <v>50295</v>
      </c>
      <c r="J1078">
        <v>12641075</v>
      </c>
      <c r="K1078">
        <v>1402119</v>
      </c>
      <c r="L1078">
        <v>468419</v>
      </c>
      <c r="M1078">
        <v>25117</v>
      </c>
      <c r="N1078">
        <v>2851</v>
      </c>
      <c r="O1078">
        <v>3666117</v>
      </c>
      <c r="P1078">
        <v>76931</v>
      </c>
      <c r="Q1078">
        <v>290256</v>
      </c>
      <c r="R1078">
        <v>4474</v>
      </c>
      <c r="S1078">
        <v>1078</v>
      </c>
      <c r="T1078">
        <v>3709</v>
      </c>
    </row>
    <row r="1079" spans="1:20" x14ac:dyDescent="0.2">
      <c r="A1079" s="22">
        <v>46004</v>
      </c>
      <c r="B1079">
        <v>73291</v>
      </c>
      <c r="C1079">
        <v>31985</v>
      </c>
      <c r="D1079">
        <v>55369</v>
      </c>
      <c r="E1079">
        <v>70</v>
      </c>
      <c r="F1079">
        <v>12546580</v>
      </c>
      <c r="G1079">
        <v>161481</v>
      </c>
      <c r="H1079">
        <v>1794</v>
      </c>
      <c r="I1079">
        <v>31543</v>
      </c>
      <c r="J1079">
        <v>6509171</v>
      </c>
      <c r="K1079">
        <v>1012127</v>
      </c>
      <c r="L1079">
        <v>182072</v>
      </c>
      <c r="M1079">
        <v>12350</v>
      </c>
      <c r="N1079">
        <v>1794</v>
      </c>
      <c r="O1079">
        <v>2812448</v>
      </c>
      <c r="P1079">
        <v>56270</v>
      </c>
      <c r="Q1079">
        <v>193974</v>
      </c>
      <c r="R1079">
        <v>4058</v>
      </c>
      <c r="S1079">
        <v>1240</v>
      </c>
      <c r="T1079">
        <v>3408</v>
      </c>
    </row>
    <row r="1080" spans="1:20" x14ac:dyDescent="0.2">
      <c r="A1080" s="22">
        <v>46005</v>
      </c>
      <c r="B1080">
        <v>70075</v>
      </c>
      <c r="C1080">
        <v>32495</v>
      </c>
      <c r="D1080">
        <v>35859</v>
      </c>
      <c r="E1080">
        <v>175</v>
      </c>
      <c r="F1080">
        <v>5623869</v>
      </c>
      <c r="G1080">
        <v>73624</v>
      </c>
      <c r="H1080">
        <v>1114</v>
      </c>
      <c r="I1080">
        <v>17421</v>
      </c>
      <c r="J1080">
        <v>6363168</v>
      </c>
      <c r="K1080">
        <v>913613</v>
      </c>
      <c r="L1080">
        <v>167071</v>
      </c>
      <c r="M1080">
        <v>11754</v>
      </c>
      <c r="N1080">
        <v>1114</v>
      </c>
      <c r="O1080">
        <v>2309415</v>
      </c>
      <c r="P1080">
        <v>36236</v>
      </c>
      <c r="Q1080">
        <v>138905</v>
      </c>
      <c r="R1080">
        <v>2933</v>
      </c>
      <c r="S1080">
        <v>790</v>
      </c>
      <c r="T1080">
        <v>3296</v>
      </c>
    </row>
    <row r="1081" spans="1:20" x14ac:dyDescent="0.2">
      <c r="A1081" s="22">
        <v>46006</v>
      </c>
      <c r="B1081">
        <v>72219</v>
      </c>
      <c r="C1081">
        <v>34596</v>
      </c>
      <c r="D1081">
        <v>40644</v>
      </c>
      <c r="E1081">
        <v>70</v>
      </c>
      <c r="F1081">
        <v>17094630</v>
      </c>
      <c r="G1081">
        <v>255223</v>
      </c>
      <c r="H1081">
        <v>2017</v>
      </c>
      <c r="I1081">
        <v>39309</v>
      </c>
      <c r="J1081">
        <v>21401825</v>
      </c>
      <c r="K1081">
        <v>1603902</v>
      </c>
      <c r="L1081">
        <v>936266</v>
      </c>
      <c r="M1081">
        <v>40092</v>
      </c>
      <c r="N1081">
        <v>2017</v>
      </c>
      <c r="O1081">
        <v>4619537</v>
      </c>
      <c r="P1081">
        <v>113603</v>
      </c>
      <c r="Q1081">
        <v>324846</v>
      </c>
      <c r="R1081">
        <v>5055</v>
      </c>
      <c r="S1081">
        <v>1166</v>
      </c>
      <c r="T1081">
        <v>3358</v>
      </c>
    </row>
    <row r="1082" spans="1:20" x14ac:dyDescent="0.2">
      <c r="A1082" s="22">
        <v>46007</v>
      </c>
      <c r="B1082">
        <v>68264</v>
      </c>
      <c r="C1082">
        <v>26944</v>
      </c>
      <c r="D1082">
        <v>48828</v>
      </c>
      <c r="E1082">
        <v>107</v>
      </c>
      <c r="F1082">
        <v>15522375</v>
      </c>
      <c r="G1082">
        <v>218231</v>
      </c>
      <c r="H1082">
        <v>1959</v>
      </c>
      <c r="I1082">
        <v>39814</v>
      </c>
      <c r="J1082">
        <v>21024495</v>
      </c>
      <c r="K1082">
        <v>1750494</v>
      </c>
      <c r="L1082">
        <v>784001</v>
      </c>
      <c r="M1082">
        <v>27434</v>
      </c>
      <c r="N1082">
        <v>1959</v>
      </c>
      <c r="O1082">
        <v>7111109</v>
      </c>
      <c r="P1082">
        <v>132840</v>
      </c>
      <c r="Q1082">
        <v>373066</v>
      </c>
      <c r="R1082">
        <v>7235</v>
      </c>
      <c r="S1082">
        <v>1746</v>
      </c>
      <c r="T1082">
        <v>3276</v>
      </c>
    </row>
    <row r="1083" spans="1:20" x14ac:dyDescent="0.2">
      <c r="A1083" s="22">
        <v>46008</v>
      </c>
      <c r="B1083">
        <v>74750</v>
      </c>
      <c r="C1083">
        <v>31635</v>
      </c>
      <c r="D1083">
        <v>44180</v>
      </c>
      <c r="E1083">
        <v>88</v>
      </c>
      <c r="F1083">
        <v>15283509</v>
      </c>
      <c r="G1083">
        <v>186114</v>
      </c>
      <c r="H1083">
        <v>1675</v>
      </c>
      <c r="I1083">
        <v>35257</v>
      </c>
      <c r="J1083">
        <v>21184214</v>
      </c>
      <c r="K1083">
        <v>1883784</v>
      </c>
      <c r="L1083">
        <v>554585</v>
      </c>
      <c r="M1083">
        <v>25277</v>
      </c>
      <c r="N1083">
        <v>1675</v>
      </c>
      <c r="O1083">
        <v>7392249</v>
      </c>
      <c r="P1083">
        <v>134430</v>
      </c>
      <c r="Q1083">
        <v>436366</v>
      </c>
      <c r="R1083">
        <v>7730</v>
      </c>
      <c r="S1083">
        <v>1767</v>
      </c>
      <c r="T1083">
        <v>3524</v>
      </c>
    </row>
    <row r="1084" spans="1:20" x14ac:dyDescent="0.2">
      <c r="A1084" s="22">
        <v>46009</v>
      </c>
      <c r="B1084">
        <v>72000</v>
      </c>
      <c r="C1084">
        <v>28401</v>
      </c>
      <c r="D1084">
        <v>44487</v>
      </c>
      <c r="E1084">
        <v>148</v>
      </c>
      <c r="F1084">
        <v>15327490</v>
      </c>
      <c r="G1084">
        <v>227091</v>
      </c>
      <c r="H1084">
        <v>1995</v>
      </c>
      <c r="I1084">
        <v>38233</v>
      </c>
      <c r="J1084">
        <v>20922024</v>
      </c>
      <c r="K1084">
        <v>2003529</v>
      </c>
      <c r="L1084">
        <v>616691</v>
      </c>
      <c r="M1084">
        <v>23029</v>
      </c>
      <c r="N1084">
        <v>1995</v>
      </c>
      <c r="O1084">
        <v>5643914</v>
      </c>
      <c r="P1084">
        <v>137545</v>
      </c>
      <c r="Q1084">
        <v>334321</v>
      </c>
      <c r="R1084">
        <v>6740</v>
      </c>
      <c r="S1084">
        <v>1764</v>
      </c>
      <c r="T1084">
        <v>2927</v>
      </c>
    </row>
    <row r="1085" spans="1:20" x14ac:dyDescent="0.2">
      <c r="A1085" s="22">
        <v>46010</v>
      </c>
      <c r="B1085">
        <v>68140</v>
      </c>
      <c r="C1085">
        <v>34746</v>
      </c>
      <c r="D1085">
        <v>42651</v>
      </c>
      <c r="E1085">
        <v>116</v>
      </c>
      <c r="F1085">
        <v>14978356</v>
      </c>
      <c r="G1085">
        <v>222809</v>
      </c>
      <c r="H1085">
        <v>1862</v>
      </c>
      <c r="I1085">
        <v>35501</v>
      </c>
      <c r="J1085">
        <v>16047665</v>
      </c>
      <c r="K1085">
        <v>2183427</v>
      </c>
      <c r="L1085">
        <v>526528</v>
      </c>
      <c r="M1085">
        <v>18969</v>
      </c>
      <c r="N1085">
        <v>1862</v>
      </c>
      <c r="O1085">
        <v>3270409</v>
      </c>
      <c r="P1085">
        <v>67883</v>
      </c>
      <c r="Q1085">
        <v>167222</v>
      </c>
      <c r="R1085">
        <v>3988</v>
      </c>
      <c r="S1085">
        <v>1072</v>
      </c>
      <c r="T1085">
        <v>2828</v>
      </c>
    </row>
    <row r="1086" spans="1:20" x14ac:dyDescent="0.2">
      <c r="A1086" s="22">
        <v>46011</v>
      </c>
      <c r="B1086">
        <v>68548</v>
      </c>
      <c r="C1086">
        <v>30574</v>
      </c>
      <c r="D1086">
        <v>54248</v>
      </c>
      <c r="E1086">
        <v>128</v>
      </c>
      <c r="F1086">
        <v>7290494</v>
      </c>
      <c r="G1086">
        <v>113766</v>
      </c>
      <c r="H1086">
        <v>869</v>
      </c>
      <c r="I1086">
        <v>20787</v>
      </c>
      <c r="J1086">
        <v>14293425</v>
      </c>
      <c r="K1086">
        <v>1946676</v>
      </c>
      <c r="L1086">
        <v>564979</v>
      </c>
      <c r="M1086">
        <v>16897</v>
      </c>
      <c r="N1086">
        <v>869</v>
      </c>
      <c r="O1086">
        <v>3173291</v>
      </c>
      <c r="P1086">
        <v>53294</v>
      </c>
      <c r="Q1086">
        <v>180856</v>
      </c>
      <c r="R1086">
        <v>4908</v>
      </c>
      <c r="S1086">
        <v>1224</v>
      </c>
      <c r="T1086">
        <v>2919</v>
      </c>
    </row>
    <row r="1087" spans="1:20" x14ac:dyDescent="0.2">
      <c r="A1087" s="22">
        <v>46012</v>
      </c>
      <c r="B1087">
        <v>73571</v>
      </c>
      <c r="C1087">
        <v>38638</v>
      </c>
      <c r="D1087">
        <v>39781</v>
      </c>
      <c r="E1087">
        <v>97</v>
      </c>
      <c r="F1087">
        <v>2748073</v>
      </c>
      <c r="G1087">
        <v>42092</v>
      </c>
      <c r="H1087">
        <v>601</v>
      </c>
      <c r="I1087">
        <v>12726</v>
      </c>
      <c r="J1087">
        <v>8741164</v>
      </c>
      <c r="K1087">
        <v>1647362</v>
      </c>
      <c r="L1087">
        <v>344122</v>
      </c>
      <c r="M1087">
        <v>12211</v>
      </c>
      <c r="N1087">
        <v>601</v>
      </c>
      <c r="O1087">
        <v>2687923</v>
      </c>
      <c r="P1087">
        <v>33974</v>
      </c>
      <c r="Q1087">
        <v>144196</v>
      </c>
      <c r="R1087">
        <v>4382</v>
      </c>
      <c r="S1087">
        <v>934</v>
      </c>
      <c r="T1087">
        <v>2655</v>
      </c>
    </row>
    <row r="1088" spans="1:20" x14ac:dyDescent="0.2">
      <c r="A1088" s="22">
        <v>46013</v>
      </c>
      <c r="B1088">
        <v>75267</v>
      </c>
      <c r="C1088">
        <v>39111</v>
      </c>
      <c r="D1088">
        <v>57502</v>
      </c>
      <c r="E1088">
        <v>97</v>
      </c>
      <c r="F1088">
        <v>7683709</v>
      </c>
      <c r="G1088">
        <v>124855</v>
      </c>
      <c r="H1088">
        <v>996</v>
      </c>
      <c r="I1088">
        <v>24706</v>
      </c>
      <c r="J1088">
        <v>12580991</v>
      </c>
      <c r="K1088">
        <v>1585614</v>
      </c>
      <c r="L1088">
        <v>552284</v>
      </c>
      <c r="M1088">
        <v>17361</v>
      </c>
      <c r="N1088">
        <v>996</v>
      </c>
      <c r="O1088">
        <v>2951473</v>
      </c>
      <c r="P1088">
        <v>38426</v>
      </c>
      <c r="Q1088">
        <v>140172</v>
      </c>
      <c r="R1088">
        <v>3483</v>
      </c>
      <c r="S1088">
        <v>784</v>
      </c>
      <c r="T1088">
        <v>2067</v>
      </c>
    </row>
    <row r="1089" spans="1:20" x14ac:dyDescent="0.2">
      <c r="A1089" s="22">
        <v>46014</v>
      </c>
      <c r="B1089">
        <v>78035</v>
      </c>
      <c r="C1089">
        <v>37194</v>
      </c>
      <c r="D1089">
        <v>52480</v>
      </c>
      <c r="E1089">
        <v>150</v>
      </c>
      <c r="F1089">
        <v>4086778</v>
      </c>
      <c r="G1089">
        <v>57509</v>
      </c>
      <c r="H1089">
        <v>870</v>
      </c>
      <c r="I1089">
        <v>14550</v>
      </c>
      <c r="J1089">
        <v>6964778</v>
      </c>
      <c r="K1089">
        <v>1387489</v>
      </c>
      <c r="L1089">
        <v>269111</v>
      </c>
      <c r="M1089">
        <v>11221</v>
      </c>
      <c r="N1089">
        <v>870</v>
      </c>
      <c r="O1089">
        <v>2252249</v>
      </c>
      <c r="P1089">
        <v>44396</v>
      </c>
      <c r="Q1089">
        <v>126261</v>
      </c>
      <c r="R1089">
        <v>2595</v>
      </c>
      <c r="S1089">
        <v>621</v>
      </c>
      <c r="T1089">
        <v>3162</v>
      </c>
    </row>
    <row r="1090" spans="1:20" x14ac:dyDescent="0.2">
      <c r="A1090" s="22">
        <v>46015</v>
      </c>
      <c r="B1090">
        <v>70542</v>
      </c>
      <c r="C1090">
        <v>32026</v>
      </c>
      <c r="D1090">
        <v>42249</v>
      </c>
      <c r="E1090">
        <v>132</v>
      </c>
      <c r="F1090">
        <v>7788224</v>
      </c>
      <c r="G1090">
        <v>124127</v>
      </c>
      <c r="H1090">
        <v>1205</v>
      </c>
      <c r="I1090">
        <v>20267</v>
      </c>
      <c r="J1090">
        <v>8472945</v>
      </c>
      <c r="K1090">
        <v>1149936</v>
      </c>
      <c r="L1090">
        <v>413400</v>
      </c>
      <c r="M1090">
        <v>11813</v>
      </c>
      <c r="N1090">
        <v>1205</v>
      </c>
      <c r="O1090">
        <v>2264139</v>
      </c>
      <c r="P1090">
        <v>35785</v>
      </c>
      <c r="Q1090">
        <v>96329</v>
      </c>
      <c r="R1090">
        <v>1824</v>
      </c>
      <c r="S1090">
        <v>520</v>
      </c>
      <c r="T1090">
        <v>3276</v>
      </c>
    </row>
    <row r="1091" spans="1:20" x14ac:dyDescent="0.2">
      <c r="A1091" s="22">
        <v>46016</v>
      </c>
      <c r="B1091">
        <v>67198</v>
      </c>
      <c r="C1091">
        <v>34898</v>
      </c>
      <c r="D1091">
        <v>50197</v>
      </c>
      <c r="E1091">
        <v>155</v>
      </c>
      <c r="F1091">
        <v>2584212</v>
      </c>
      <c r="G1091">
        <v>46627</v>
      </c>
      <c r="H1091">
        <v>592</v>
      </c>
      <c r="I1091">
        <v>13336</v>
      </c>
      <c r="J1091">
        <v>6261999</v>
      </c>
      <c r="K1091">
        <v>1005522</v>
      </c>
      <c r="L1091">
        <v>287865</v>
      </c>
      <c r="M1091">
        <v>11419</v>
      </c>
      <c r="N1091">
        <v>592</v>
      </c>
      <c r="O1091">
        <v>1813905</v>
      </c>
      <c r="P1091">
        <v>34567</v>
      </c>
      <c r="Q1091">
        <v>166277</v>
      </c>
      <c r="R1091">
        <v>1247</v>
      </c>
      <c r="S1091">
        <v>331</v>
      </c>
      <c r="T1091">
        <v>3026</v>
      </c>
    </row>
    <row r="1092" spans="1:20" x14ac:dyDescent="0.2">
      <c r="A1092" s="22">
        <v>46017</v>
      </c>
      <c r="B1092">
        <v>68917</v>
      </c>
      <c r="C1092">
        <v>28320</v>
      </c>
      <c r="D1092">
        <v>37305</v>
      </c>
      <c r="E1092">
        <v>158</v>
      </c>
      <c r="F1092">
        <v>3286436</v>
      </c>
      <c r="G1092">
        <v>56970</v>
      </c>
      <c r="H1092">
        <v>658</v>
      </c>
      <c r="I1092">
        <v>14757</v>
      </c>
      <c r="J1092">
        <v>7676048</v>
      </c>
      <c r="K1092">
        <v>883042</v>
      </c>
      <c r="L1092">
        <v>357700</v>
      </c>
      <c r="M1092">
        <v>11229</v>
      </c>
      <c r="N1092">
        <v>658</v>
      </c>
      <c r="O1092">
        <v>1168170</v>
      </c>
      <c r="P1092">
        <v>33914</v>
      </c>
      <c r="Q1092">
        <v>97541</v>
      </c>
      <c r="R1092">
        <v>1130</v>
      </c>
      <c r="S1092">
        <v>362</v>
      </c>
      <c r="T1092">
        <v>3538</v>
      </c>
    </row>
    <row r="1093" spans="1:20" x14ac:dyDescent="0.2">
      <c r="A1093" s="22">
        <v>46018</v>
      </c>
      <c r="B1093">
        <v>74267</v>
      </c>
      <c r="C1093">
        <v>32566</v>
      </c>
      <c r="D1093">
        <v>44246</v>
      </c>
      <c r="E1093">
        <v>72</v>
      </c>
      <c r="F1093">
        <v>1022417</v>
      </c>
      <c r="G1093">
        <v>17726</v>
      </c>
      <c r="H1093">
        <v>492</v>
      </c>
      <c r="I1093">
        <v>7669</v>
      </c>
      <c r="J1093">
        <v>8935010</v>
      </c>
      <c r="K1093">
        <v>972219</v>
      </c>
      <c r="L1093">
        <v>405450</v>
      </c>
      <c r="M1093">
        <v>13117</v>
      </c>
      <c r="N1093">
        <v>492</v>
      </c>
      <c r="O1093">
        <v>1319722</v>
      </c>
      <c r="P1093">
        <v>27708</v>
      </c>
      <c r="Q1093">
        <v>88830</v>
      </c>
      <c r="R1093">
        <v>2374</v>
      </c>
      <c r="S1093">
        <v>658</v>
      </c>
      <c r="T1093">
        <v>3111</v>
      </c>
    </row>
    <row r="1094" spans="1:20" x14ac:dyDescent="0.2">
      <c r="A1094" s="22">
        <v>46019</v>
      </c>
      <c r="B1094">
        <v>70314</v>
      </c>
      <c r="C1094">
        <v>30668</v>
      </c>
      <c r="D1094">
        <v>37451</v>
      </c>
      <c r="E1094">
        <v>105</v>
      </c>
      <c r="F1094">
        <v>642706</v>
      </c>
      <c r="G1094">
        <v>11351</v>
      </c>
      <c r="H1094">
        <v>390</v>
      </c>
      <c r="I1094">
        <v>7560</v>
      </c>
      <c r="J1094">
        <v>5376354</v>
      </c>
      <c r="K1094">
        <v>955100</v>
      </c>
      <c r="L1094">
        <v>263183</v>
      </c>
      <c r="M1094">
        <v>8540</v>
      </c>
      <c r="N1094">
        <v>390</v>
      </c>
      <c r="O1094">
        <v>811003</v>
      </c>
      <c r="P1094">
        <v>16416</v>
      </c>
      <c r="Q1094">
        <v>67353</v>
      </c>
      <c r="R1094">
        <v>1045</v>
      </c>
      <c r="S1094">
        <v>350</v>
      </c>
      <c r="T1094">
        <v>2684</v>
      </c>
    </row>
    <row r="1095" spans="1:20" x14ac:dyDescent="0.2">
      <c r="A1095" s="22">
        <v>46020</v>
      </c>
      <c r="B1095">
        <v>73612</v>
      </c>
      <c r="C1095">
        <v>38207</v>
      </c>
      <c r="D1095">
        <v>45589</v>
      </c>
      <c r="E1095">
        <v>74</v>
      </c>
      <c r="F1095">
        <v>2139398</v>
      </c>
      <c r="G1095">
        <v>32515</v>
      </c>
      <c r="H1095">
        <v>695</v>
      </c>
      <c r="I1095">
        <v>14946</v>
      </c>
      <c r="J1095">
        <v>5448310</v>
      </c>
      <c r="K1095">
        <v>984034</v>
      </c>
      <c r="L1095">
        <v>274540</v>
      </c>
      <c r="M1095">
        <v>10254</v>
      </c>
      <c r="N1095">
        <v>695</v>
      </c>
      <c r="O1095">
        <v>2174452</v>
      </c>
      <c r="P1095">
        <v>46856</v>
      </c>
      <c r="Q1095">
        <v>178306</v>
      </c>
      <c r="R1095">
        <v>1810</v>
      </c>
      <c r="S1095">
        <v>582</v>
      </c>
      <c r="T1095">
        <v>3017</v>
      </c>
    </row>
    <row r="1096" spans="1:20" x14ac:dyDescent="0.2">
      <c r="A1096" s="22">
        <v>46021</v>
      </c>
      <c r="B1096">
        <v>70750</v>
      </c>
      <c r="C1096">
        <v>38261</v>
      </c>
      <c r="D1096">
        <v>40703</v>
      </c>
      <c r="E1096">
        <v>65</v>
      </c>
      <c r="F1096">
        <v>2854243</v>
      </c>
      <c r="G1096">
        <v>46088</v>
      </c>
      <c r="H1096">
        <v>634</v>
      </c>
      <c r="I1096">
        <v>14516</v>
      </c>
      <c r="J1096">
        <v>7971016</v>
      </c>
      <c r="K1096">
        <v>1144933</v>
      </c>
      <c r="L1096">
        <v>377019</v>
      </c>
      <c r="M1096">
        <v>12610</v>
      </c>
      <c r="N1096">
        <v>634</v>
      </c>
      <c r="O1096">
        <v>5033754</v>
      </c>
      <c r="P1096">
        <v>37030</v>
      </c>
      <c r="Q1096">
        <v>171948</v>
      </c>
      <c r="R1096">
        <v>1401</v>
      </c>
      <c r="S1096">
        <v>361</v>
      </c>
      <c r="T1096">
        <v>2779</v>
      </c>
    </row>
    <row r="1097" spans="1:20" x14ac:dyDescent="0.2">
      <c r="A1097" s="22">
        <v>46022</v>
      </c>
      <c r="B1097">
        <v>72282</v>
      </c>
      <c r="C1097">
        <v>34833</v>
      </c>
      <c r="D1097">
        <v>47185</v>
      </c>
      <c r="E1097">
        <v>116</v>
      </c>
      <c r="F1097">
        <v>4048103</v>
      </c>
      <c r="G1097">
        <v>66074</v>
      </c>
      <c r="H1097">
        <v>583</v>
      </c>
      <c r="I1097">
        <v>15516</v>
      </c>
      <c r="J1097">
        <v>10945080</v>
      </c>
      <c r="K1097">
        <v>947246</v>
      </c>
      <c r="L1097">
        <v>536654</v>
      </c>
      <c r="M1097">
        <v>11833</v>
      </c>
      <c r="N1097">
        <v>583</v>
      </c>
      <c r="O1097">
        <v>4405594</v>
      </c>
      <c r="P1097">
        <v>49177</v>
      </c>
      <c r="Q1097">
        <v>119527</v>
      </c>
      <c r="R1097">
        <v>1183</v>
      </c>
      <c r="S1097">
        <v>350</v>
      </c>
      <c r="T1097">
        <v>2816</v>
      </c>
    </row>
    <row r="1098" spans="1:20" x14ac:dyDescent="0.2">
      <c r="A1098" s="22">
        <v>46023</v>
      </c>
      <c r="B1098">
        <v>30622</v>
      </c>
      <c r="C1098">
        <v>13646</v>
      </c>
      <c r="D1098">
        <v>19103</v>
      </c>
      <c r="E1098">
        <v>134</v>
      </c>
      <c r="F1098" s="21">
        <v>560697</v>
      </c>
      <c r="G1098">
        <v>28654</v>
      </c>
      <c r="H1098">
        <v>377</v>
      </c>
      <c r="I1098">
        <v>2624</v>
      </c>
      <c r="J1098">
        <v>11477035</v>
      </c>
      <c r="K1098">
        <v>1212333</v>
      </c>
      <c r="L1098">
        <v>381155</v>
      </c>
      <c r="M1098">
        <v>11451</v>
      </c>
      <c r="N1098">
        <v>377</v>
      </c>
      <c r="O1098">
        <v>1702680</v>
      </c>
      <c r="P1098">
        <v>20568</v>
      </c>
      <c r="Q1098">
        <v>54937</v>
      </c>
      <c r="R1098">
        <v>918</v>
      </c>
      <c r="S1098">
        <v>260</v>
      </c>
      <c r="T1098">
        <v>2833</v>
      </c>
    </row>
    <row r="1099" spans="1:20" x14ac:dyDescent="0.2">
      <c r="A1099" s="22">
        <v>46024</v>
      </c>
      <c r="B1099">
        <v>25839</v>
      </c>
      <c r="C1099">
        <v>14025</v>
      </c>
      <c r="D1099">
        <v>13055</v>
      </c>
      <c r="E1099">
        <v>133</v>
      </c>
      <c r="F1099" s="21">
        <v>1127385</v>
      </c>
      <c r="G1099">
        <v>60773</v>
      </c>
      <c r="H1099">
        <v>775</v>
      </c>
      <c r="I1099">
        <v>4426</v>
      </c>
      <c r="J1099">
        <v>10885398</v>
      </c>
      <c r="K1099">
        <v>1212272</v>
      </c>
      <c r="L1099">
        <v>401435</v>
      </c>
      <c r="M1099">
        <v>15168</v>
      </c>
      <c r="N1099">
        <v>775</v>
      </c>
      <c r="O1099">
        <v>1929746</v>
      </c>
      <c r="P1099">
        <v>25245</v>
      </c>
      <c r="Q1099">
        <v>80604</v>
      </c>
      <c r="R1099">
        <v>1435</v>
      </c>
      <c r="S1099">
        <v>324</v>
      </c>
      <c r="T1099">
        <v>2899</v>
      </c>
    </row>
    <row r="1100" spans="1:20" x14ac:dyDescent="0.2">
      <c r="A1100" s="22">
        <v>46025</v>
      </c>
      <c r="B1100">
        <v>39841</v>
      </c>
      <c r="C1100">
        <v>21299</v>
      </c>
      <c r="D1100">
        <v>24157</v>
      </c>
      <c r="E1100">
        <v>139</v>
      </c>
      <c r="F1100" s="21">
        <v>1443626</v>
      </c>
      <c r="G1100">
        <v>57618</v>
      </c>
      <c r="H1100">
        <v>788</v>
      </c>
      <c r="I1100">
        <v>6048</v>
      </c>
      <c r="J1100">
        <v>8936110</v>
      </c>
      <c r="K1100">
        <v>1222655</v>
      </c>
      <c r="L1100">
        <v>349995</v>
      </c>
      <c r="M1100">
        <v>12728</v>
      </c>
      <c r="N1100">
        <v>788</v>
      </c>
      <c r="O1100">
        <v>2082402</v>
      </c>
      <c r="P1100">
        <v>32940</v>
      </c>
      <c r="Q1100">
        <v>101914</v>
      </c>
      <c r="R1100">
        <v>2088</v>
      </c>
      <c r="S1100">
        <v>330</v>
      </c>
      <c r="T1100">
        <v>3003</v>
      </c>
    </row>
    <row r="1101" spans="1:20" x14ac:dyDescent="0.2">
      <c r="A1101" s="22">
        <v>46026</v>
      </c>
      <c r="B1101">
        <v>27606</v>
      </c>
      <c r="C1101">
        <v>13135</v>
      </c>
      <c r="D1101">
        <v>14603</v>
      </c>
      <c r="E1101">
        <v>136</v>
      </c>
      <c r="F1101" s="21">
        <v>680717</v>
      </c>
      <c r="G1101">
        <v>25317</v>
      </c>
      <c r="H1101">
        <v>506</v>
      </c>
      <c r="I1101">
        <v>3079</v>
      </c>
      <c r="J1101">
        <v>4690535</v>
      </c>
      <c r="K1101">
        <v>929800</v>
      </c>
      <c r="L1101">
        <v>161601</v>
      </c>
      <c r="M1101">
        <v>7712</v>
      </c>
      <c r="N1101">
        <v>506</v>
      </c>
      <c r="O1101">
        <v>1109967</v>
      </c>
      <c r="P1101">
        <v>18941</v>
      </c>
      <c r="Q1101">
        <v>82091</v>
      </c>
      <c r="R1101">
        <v>1533</v>
      </c>
      <c r="S1101">
        <v>241</v>
      </c>
      <c r="T1101">
        <v>2836</v>
      </c>
    </row>
    <row r="1102" spans="1:20" x14ac:dyDescent="0.2">
      <c r="A1102" s="22">
        <v>46027</v>
      </c>
      <c r="B1102">
        <v>32184</v>
      </c>
      <c r="C1102">
        <v>15609</v>
      </c>
      <c r="D1102">
        <v>24588</v>
      </c>
      <c r="E1102">
        <v>110</v>
      </c>
      <c r="F1102" s="21">
        <v>1953745</v>
      </c>
      <c r="G1102">
        <v>124825</v>
      </c>
      <c r="H1102">
        <v>1320</v>
      </c>
      <c r="I1102">
        <v>7658</v>
      </c>
      <c r="J1102">
        <v>11941785</v>
      </c>
      <c r="K1102">
        <v>1258811</v>
      </c>
      <c r="L1102">
        <v>550786</v>
      </c>
      <c r="M1102">
        <v>16001</v>
      </c>
      <c r="N1102">
        <v>1320</v>
      </c>
      <c r="O1102">
        <v>3193461</v>
      </c>
      <c r="P1102">
        <v>60821</v>
      </c>
      <c r="Q1102">
        <v>324347</v>
      </c>
      <c r="R1102">
        <v>3284</v>
      </c>
      <c r="S1102">
        <v>932</v>
      </c>
      <c r="T1102">
        <v>3138</v>
      </c>
    </row>
    <row r="1103" spans="1:20" x14ac:dyDescent="0.2">
      <c r="A1103" s="22">
        <v>46028</v>
      </c>
      <c r="B1103">
        <v>29442</v>
      </c>
      <c r="C1103">
        <v>13867</v>
      </c>
      <c r="D1103">
        <v>23311</v>
      </c>
      <c r="E1103">
        <v>139</v>
      </c>
      <c r="F1103" s="21">
        <v>1946362</v>
      </c>
      <c r="G1103">
        <v>132050</v>
      </c>
      <c r="H1103">
        <v>1406</v>
      </c>
      <c r="I1103">
        <v>7208</v>
      </c>
      <c r="J1103">
        <v>12134187</v>
      </c>
      <c r="K1103">
        <v>1226505</v>
      </c>
      <c r="L1103">
        <v>518426</v>
      </c>
      <c r="M1103">
        <v>16943</v>
      </c>
      <c r="N1103">
        <v>1406</v>
      </c>
      <c r="O1103">
        <v>4067674</v>
      </c>
      <c r="P1103">
        <v>71859</v>
      </c>
      <c r="Q1103">
        <v>328317</v>
      </c>
      <c r="R1103">
        <v>4785</v>
      </c>
      <c r="S1103">
        <v>1214</v>
      </c>
      <c r="T1103">
        <v>3253</v>
      </c>
    </row>
    <row r="1104" spans="1:20" x14ac:dyDescent="0.2">
      <c r="A1104" s="22">
        <v>46029</v>
      </c>
      <c r="B1104">
        <v>37020</v>
      </c>
      <c r="C1104">
        <v>20081</v>
      </c>
      <c r="D1104">
        <v>26548</v>
      </c>
      <c r="E1104">
        <v>65</v>
      </c>
      <c r="F1104" s="21">
        <v>1624867</v>
      </c>
      <c r="G1104">
        <v>115992</v>
      </c>
      <c r="H1104">
        <v>1056</v>
      </c>
      <c r="I1104">
        <v>7210</v>
      </c>
      <c r="J1104">
        <v>11773546</v>
      </c>
      <c r="K1104">
        <v>1420858</v>
      </c>
      <c r="L1104">
        <v>500427</v>
      </c>
      <c r="M1104">
        <v>16950</v>
      </c>
      <c r="N1104">
        <v>1056</v>
      </c>
      <c r="O1104">
        <v>3035252</v>
      </c>
      <c r="P1104">
        <v>53942</v>
      </c>
      <c r="Q1104">
        <v>198832</v>
      </c>
      <c r="R1104">
        <v>4080</v>
      </c>
      <c r="S1104">
        <v>1026</v>
      </c>
      <c r="T1104">
        <v>3135</v>
      </c>
    </row>
    <row r="1105" spans="1:20" x14ac:dyDescent="0.2">
      <c r="A1105" s="22">
        <v>46030</v>
      </c>
      <c r="B1105">
        <v>27804</v>
      </c>
      <c r="C1105">
        <v>10158</v>
      </c>
      <c r="D1105">
        <v>16173</v>
      </c>
      <c r="E1105">
        <v>117</v>
      </c>
      <c r="F1105" s="21">
        <v>2100540</v>
      </c>
      <c r="G1105">
        <v>116828</v>
      </c>
      <c r="H1105">
        <v>1499</v>
      </c>
      <c r="I1105">
        <v>8699</v>
      </c>
      <c r="J1105">
        <v>11886748</v>
      </c>
      <c r="K1105">
        <v>1810116</v>
      </c>
      <c r="L1105">
        <v>453466</v>
      </c>
      <c r="M1105">
        <v>17234</v>
      </c>
      <c r="N1105">
        <v>1499</v>
      </c>
      <c r="O1105">
        <v>3035452</v>
      </c>
      <c r="P1105">
        <v>57186</v>
      </c>
      <c r="Q1105">
        <v>225864</v>
      </c>
      <c r="R1105">
        <v>4408</v>
      </c>
      <c r="S1105">
        <v>1030</v>
      </c>
      <c r="T1105">
        <v>2917</v>
      </c>
    </row>
    <row r="1106" spans="1:20" x14ac:dyDescent="0.2">
      <c r="A1106" s="22">
        <v>46031</v>
      </c>
      <c r="B1106">
        <v>32674</v>
      </c>
      <c r="C1106">
        <v>15398</v>
      </c>
      <c r="D1106">
        <v>21178</v>
      </c>
      <c r="E1106">
        <v>142</v>
      </c>
      <c r="F1106" s="21">
        <v>2473926</v>
      </c>
      <c r="G1106">
        <v>162202</v>
      </c>
      <c r="H1106">
        <v>1907</v>
      </c>
      <c r="I1106">
        <v>11083</v>
      </c>
      <c r="J1106">
        <v>18184458</v>
      </c>
      <c r="K1106">
        <v>2245855</v>
      </c>
      <c r="L1106">
        <v>781167</v>
      </c>
      <c r="M1106">
        <v>25286</v>
      </c>
      <c r="N1106">
        <v>1907</v>
      </c>
      <c r="O1106">
        <v>4366437</v>
      </c>
      <c r="P1106">
        <v>60722</v>
      </c>
      <c r="Q1106">
        <v>262968</v>
      </c>
      <c r="R1106">
        <v>6188</v>
      </c>
      <c r="S1106">
        <v>963</v>
      </c>
      <c r="T1106">
        <v>2911</v>
      </c>
    </row>
    <row r="1107" spans="1:20" x14ac:dyDescent="0.2">
      <c r="A1107" s="22">
        <v>46032</v>
      </c>
      <c r="B1107">
        <v>25916</v>
      </c>
      <c r="C1107">
        <v>9973</v>
      </c>
      <c r="D1107">
        <v>17010</v>
      </c>
      <c r="E1107">
        <v>178</v>
      </c>
      <c r="F1107" s="21">
        <v>2149934</v>
      </c>
      <c r="G1107">
        <v>125152</v>
      </c>
      <c r="H1107">
        <v>1833</v>
      </c>
      <c r="I1107">
        <v>8141</v>
      </c>
      <c r="J1107">
        <v>13786673</v>
      </c>
      <c r="K1107">
        <v>1936634</v>
      </c>
      <c r="L1107">
        <v>593337</v>
      </c>
      <c r="M1107">
        <v>20934</v>
      </c>
      <c r="N1107">
        <v>1833</v>
      </c>
      <c r="O1107">
        <v>4272609</v>
      </c>
      <c r="P1107">
        <v>69589</v>
      </c>
      <c r="Q1107">
        <v>253968</v>
      </c>
      <c r="R1107">
        <v>4878</v>
      </c>
      <c r="S1107">
        <v>1005</v>
      </c>
      <c r="T1107">
        <v>2989</v>
      </c>
    </row>
    <row r="1108" spans="1:20" x14ac:dyDescent="0.2">
      <c r="A1108" s="22">
        <v>46033</v>
      </c>
      <c r="B1108">
        <v>39951</v>
      </c>
      <c r="C1108">
        <v>17438</v>
      </c>
      <c r="D1108">
        <v>30667</v>
      </c>
      <c r="E1108">
        <v>161</v>
      </c>
      <c r="F1108" s="21">
        <v>1156732</v>
      </c>
      <c r="G1108">
        <v>38924</v>
      </c>
      <c r="H1108">
        <v>974</v>
      </c>
      <c r="I1108">
        <v>4882</v>
      </c>
      <c r="J1108">
        <v>6890108</v>
      </c>
      <c r="K1108">
        <v>1520042</v>
      </c>
      <c r="L1108">
        <v>257311</v>
      </c>
      <c r="M1108">
        <v>12590</v>
      </c>
      <c r="N1108">
        <v>974</v>
      </c>
      <c r="O1108">
        <v>3404524</v>
      </c>
      <c r="P1108">
        <v>43526</v>
      </c>
      <c r="Q1108">
        <v>164233</v>
      </c>
      <c r="R1108">
        <v>2418</v>
      </c>
      <c r="S1108">
        <v>572</v>
      </c>
      <c r="T1108">
        <v>2801</v>
      </c>
    </row>
    <row r="1109" spans="1:20" x14ac:dyDescent="0.2">
      <c r="A1109" s="22">
        <v>46034</v>
      </c>
      <c r="B1109">
        <v>37771</v>
      </c>
      <c r="C1109">
        <v>17883</v>
      </c>
      <c r="D1109">
        <v>25617</v>
      </c>
      <c r="E1109">
        <v>64</v>
      </c>
      <c r="F1109" s="21">
        <v>2232389</v>
      </c>
      <c r="G1109">
        <v>170985</v>
      </c>
      <c r="H1109">
        <v>1402</v>
      </c>
      <c r="I1109">
        <v>9616</v>
      </c>
      <c r="J1109">
        <v>16043324</v>
      </c>
      <c r="K1109">
        <v>1976961</v>
      </c>
      <c r="L1109">
        <v>743832</v>
      </c>
      <c r="M1109">
        <v>27388</v>
      </c>
      <c r="N1109">
        <v>1402</v>
      </c>
      <c r="O1109">
        <v>2661353</v>
      </c>
      <c r="P1109">
        <v>44488</v>
      </c>
      <c r="Q1109">
        <v>216038</v>
      </c>
      <c r="R1109">
        <v>3289</v>
      </c>
      <c r="S1109">
        <v>921</v>
      </c>
      <c r="T1109">
        <v>2815</v>
      </c>
    </row>
    <row r="1110" spans="1:20" x14ac:dyDescent="0.2">
      <c r="A1110" s="22">
        <v>46035</v>
      </c>
      <c r="B1110">
        <v>28618</v>
      </c>
      <c r="C1110">
        <v>12442</v>
      </c>
      <c r="D1110">
        <v>14445</v>
      </c>
      <c r="E1110">
        <v>161</v>
      </c>
      <c r="F1110" s="21">
        <v>1891464</v>
      </c>
      <c r="G1110">
        <v>132083</v>
      </c>
      <c r="H1110">
        <v>1326</v>
      </c>
      <c r="I1110">
        <v>8015</v>
      </c>
      <c r="J1110">
        <v>13468076</v>
      </c>
      <c r="K1110">
        <v>1707033</v>
      </c>
      <c r="L1110">
        <v>602492</v>
      </c>
      <c r="M1110">
        <v>20786</v>
      </c>
      <c r="N1110">
        <v>1326</v>
      </c>
      <c r="O1110">
        <v>4212409</v>
      </c>
      <c r="P1110">
        <v>103531</v>
      </c>
      <c r="Q1110">
        <v>340427</v>
      </c>
      <c r="R1110">
        <v>5107</v>
      </c>
      <c r="S1110">
        <v>1074</v>
      </c>
      <c r="T1110">
        <v>2696</v>
      </c>
    </row>
    <row r="1111" spans="1:20" x14ac:dyDescent="0.2">
      <c r="A1111" s="22">
        <v>46036</v>
      </c>
      <c r="B1111">
        <v>33139</v>
      </c>
      <c r="C1111">
        <v>12772</v>
      </c>
      <c r="D1111">
        <v>17817</v>
      </c>
      <c r="E1111">
        <v>101</v>
      </c>
      <c r="F1111" s="21">
        <v>2088713</v>
      </c>
      <c r="G1111">
        <v>153096</v>
      </c>
      <c r="H1111">
        <v>1322</v>
      </c>
      <c r="I1111">
        <v>8731</v>
      </c>
      <c r="J1111">
        <v>11500428</v>
      </c>
      <c r="K1111">
        <v>1634797</v>
      </c>
      <c r="L1111">
        <v>564610</v>
      </c>
      <c r="M1111">
        <v>21074</v>
      </c>
      <c r="N1111">
        <v>1322</v>
      </c>
      <c r="O1111">
        <v>5891103</v>
      </c>
      <c r="P1111">
        <v>114316</v>
      </c>
      <c r="Q1111">
        <v>340754</v>
      </c>
      <c r="R1111">
        <v>5882</v>
      </c>
      <c r="S1111">
        <v>1274</v>
      </c>
      <c r="T1111">
        <v>2697</v>
      </c>
    </row>
    <row r="1112" spans="1:20" x14ac:dyDescent="0.2">
      <c r="A1112" s="22">
        <v>46037</v>
      </c>
      <c r="B1112">
        <v>35646</v>
      </c>
      <c r="C1112">
        <v>15567</v>
      </c>
      <c r="D1112">
        <v>18824</v>
      </c>
      <c r="E1112">
        <v>147</v>
      </c>
      <c r="F1112" s="21">
        <v>3747849</v>
      </c>
      <c r="G1112">
        <v>186448</v>
      </c>
      <c r="H1112">
        <v>2014</v>
      </c>
      <c r="I1112">
        <v>16395</v>
      </c>
      <c r="J1112">
        <v>11249860</v>
      </c>
      <c r="K1112">
        <v>1545033</v>
      </c>
      <c r="L1112">
        <v>506022</v>
      </c>
      <c r="M1112">
        <v>21035</v>
      </c>
      <c r="N1112">
        <v>2014</v>
      </c>
      <c r="O1112">
        <v>6519592</v>
      </c>
      <c r="P1112">
        <v>114068</v>
      </c>
      <c r="Q1112">
        <v>585055</v>
      </c>
      <c r="R1112">
        <v>8080</v>
      </c>
      <c r="S1112">
        <v>1932</v>
      </c>
      <c r="T1112">
        <v>2702</v>
      </c>
    </row>
    <row r="1113" spans="1:20" x14ac:dyDescent="0.2">
      <c r="A1113" s="22">
        <v>46038</v>
      </c>
      <c r="B1113">
        <v>32350</v>
      </c>
      <c r="C1113">
        <v>16281</v>
      </c>
      <c r="D1113">
        <v>22865</v>
      </c>
      <c r="E1113">
        <v>165</v>
      </c>
      <c r="F1113" s="21">
        <v>3744984</v>
      </c>
      <c r="G1113">
        <v>222957</v>
      </c>
      <c r="H1113">
        <v>2427</v>
      </c>
      <c r="I1113">
        <v>15255</v>
      </c>
      <c r="J1113">
        <v>8037457</v>
      </c>
      <c r="K1113">
        <v>1276757</v>
      </c>
      <c r="L1113">
        <v>373800</v>
      </c>
      <c r="M1113">
        <v>15590</v>
      </c>
      <c r="N1113">
        <v>2427</v>
      </c>
      <c r="O1113">
        <v>5626668</v>
      </c>
      <c r="P1113">
        <v>116096</v>
      </c>
      <c r="Q1113">
        <v>431608</v>
      </c>
      <c r="R1113">
        <v>6896</v>
      </c>
      <c r="S1113">
        <v>1844</v>
      </c>
      <c r="T1113">
        <v>2407</v>
      </c>
    </row>
    <row r="1114" spans="1:20" x14ac:dyDescent="0.2">
      <c r="A1114" s="22">
        <v>46039</v>
      </c>
      <c r="B1114">
        <v>36993</v>
      </c>
      <c r="C1114">
        <v>16370</v>
      </c>
      <c r="D1114">
        <v>23645</v>
      </c>
      <c r="E1114">
        <v>106</v>
      </c>
      <c r="F1114" s="21">
        <v>2421267</v>
      </c>
      <c r="G1114">
        <v>109597</v>
      </c>
      <c r="H1114">
        <v>1448</v>
      </c>
      <c r="I1114">
        <v>10575</v>
      </c>
      <c r="J1114">
        <v>9100964</v>
      </c>
      <c r="K1114">
        <v>1470033</v>
      </c>
      <c r="L1114">
        <v>438351</v>
      </c>
      <c r="M1114">
        <v>18508</v>
      </c>
      <c r="N1114">
        <v>1448</v>
      </c>
      <c r="O1114">
        <v>4352992</v>
      </c>
      <c r="P1114">
        <v>113303</v>
      </c>
      <c r="Q1114">
        <v>270941</v>
      </c>
      <c r="R1114">
        <v>5901</v>
      </c>
      <c r="S1114">
        <v>1163</v>
      </c>
      <c r="T1114">
        <v>2910</v>
      </c>
    </row>
    <row r="1115" spans="1:20" x14ac:dyDescent="0.2">
      <c r="A1115" s="22">
        <v>46040</v>
      </c>
      <c r="B1115">
        <v>37504</v>
      </c>
      <c r="C1115">
        <v>16194</v>
      </c>
      <c r="D1115">
        <v>19356</v>
      </c>
      <c r="E1115">
        <v>111</v>
      </c>
      <c r="F1115" s="21">
        <v>1942215</v>
      </c>
      <c r="G1115">
        <v>94521</v>
      </c>
      <c r="H1115">
        <v>1324</v>
      </c>
      <c r="I1115">
        <v>7819</v>
      </c>
      <c r="J1115">
        <v>7625725</v>
      </c>
      <c r="K1115">
        <v>1418156</v>
      </c>
      <c r="L1115">
        <v>402458</v>
      </c>
      <c r="M1115">
        <v>15813</v>
      </c>
      <c r="N1115">
        <v>1324</v>
      </c>
      <c r="O1115">
        <v>7880341</v>
      </c>
      <c r="P1115">
        <v>122727</v>
      </c>
      <c r="Q1115">
        <v>436876</v>
      </c>
      <c r="R1115">
        <v>9461</v>
      </c>
      <c r="S1115">
        <v>1751</v>
      </c>
      <c r="T1115">
        <v>3219</v>
      </c>
    </row>
    <row r="1116" spans="1:20" x14ac:dyDescent="0.2">
      <c r="A1116" s="22">
        <v>46041</v>
      </c>
      <c r="B1116">
        <v>25468</v>
      </c>
      <c r="C1116">
        <v>9834</v>
      </c>
      <c r="D1116">
        <v>17172</v>
      </c>
      <c r="E1116">
        <v>126</v>
      </c>
      <c r="F1116" s="21">
        <v>2436911</v>
      </c>
      <c r="G1116">
        <v>149321</v>
      </c>
      <c r="H1116">
        <v>1505</v>
      </c>
      <c r="I1116">
        <v>9421</v>
      </c>
      <c r="J1116">
        <v>9688651</v>
      </c>
      <c r="K1116">
        <v>1413469</v>
      </c>
      <c r="L1116">
        <v>455228</v>
      </c>
      <c r="M1116">
        <v>15721</v>
      </c>
      <c r="N1116">
        <v>1505</v>
      </c>
      <c r="O1116">
        <v>6380814</v>
      </c>
      <c r="P1116">
        <v>165672</v>
      </c>
      <c r="Q1116">
        <v>468329</v>
      </c>
      <c r="R1116">
        <v>7468</v>
      </c>
      <c r="S1116">
        <v>1585</v>
      </c>
      <c r="T1116">
        <v>3288</v>
      </c>
    </row>
    <row r="1117" spans="1:20" x14ac:dyDescent="0.2">
      <c r="A1117" s="22">
        <v>46042</v>
      </c>
      <c r="B1117">
        <v>38608</v>
      </c>
      <c r="C1117">
        <v>19810</v>
      </c>
      <c r="D1117">
        <v>27542</v>
      </c>
      <c r="E1117">
        <v>125</v>
      </c>
      <c r="F1117" s="21">
        <v>3305354</v>
      </c>
      <c r="G1117">
        <v>243673</v>
      </c>
      <c r="H1117">
        <v>2745</v>
      </c>
      <c r="I1117">
        <v>14036</v>
      </c>
      <c r="J1117">
        <v>12745493</v>
      </c>
      <c r="K1117">
        <v>1570539</v>
      </c>
      <c r="L1117">
        <v>620148</v>
      </c>
      <c r="M1117">
        <v>23478</v>
      </c>
      <c r="N1117">
        <v>2745</v>
      </c>
      <c r="O1117">
        <v>8282797</v>
      </c>
      <c r="P1117">
        <v>186255</v>
      </c>
      <c r="Q1117">
        <v>776894</v>
      </c>
      <c r="R1117">
        <v>11667</v>
      </c>
      <c r="S1117">
        <v>1940</v>
      </c>
      <c r="T1117">
        <v>4418</v>
      </c>
    </row>
    <row r="1118" spans="1:20" x14ac:dyDescent="0.2">
      <c r="A1118" s="22">
        <v>46043</v>
      </c>
      <c r="B1118">
        <v>36497</v>
      </c>
      <c r="C1118">
        <v>18166</v>
      </c>
      <c r="D1118">
        <v>28882</v>
      </c>
      <c r="E1118">
        <v>121</v>
      </c>
      <c r="F1118" s="21">
        <v>3500209</v>
      </c>
      <c r="G1118">
        <v>237143</v>
      </c>
      <c r="H1118">
        <v>2807</v>
      </c>
      <c r="I1118">
        <v>14537</v>
      </c>
      <c r="J1118">
        <v>11588827</v>
      </c>
      <c r="K1118">
        <v>1581573</v>
      </c>
      <c r="L1118">
        <v>592947</v>
      </c>
      <c r="M1118">
        <v>25898</v>
      </c>
      <c r="N1118">
        <v>2807</v>
      </c>
      <c r="O1118">
        <v>9315450</v>
      </c>
      <c r="P1118">
        <v>260401</v>
      </c>
      <c r="Q1118">
        <v>737256</v>
      </c>
      <c r="R1118">
        <v>13043</v>
      </c>
      <c r="S1118">
        <v>2501</v>
      </c>
      <c r="T1118">
        <v>3952</v>
      </c>
    </row>
    <row r="1119" spans="1:20" x14ac:dyDescent="0.2">
      <c r="A1119" s="22">
        <v>46044</v>
      </c>
      <c r="B1119">
        <v>26328</v>
      </c>
      <c r="C1119">
        <v>13351</v>
      </c>
      <c r="D1119">
        <v>20662</v>
      </c>
      <c r="E1119">
        <v>159</v>
      </c>
      <c r="F1119" s="21">
        <v>2857669</v>
      </c>
      <c r="G1119">
        <v>193577</v>
      </c>
      <c r="H1119">
        <v>2115</v>
      </c>
      <c r="I1119">
        <v>11056</v>
      </c>
      <c r="J1119">
        <v>13715950</v>
      </c>
      <c r="K1119">
        <v>1936262</v>
      </c>
      <c r="L1119">
        <v>699532</v>
      </c>
      <c r="M1119">
        <v>29422</v>
      </c>
      <c r="N1119">
        <v>2115</v>
      </c>
      <c r="O1119">
        <v>14365921</v>
      </c>
      <c r="P1119">
        <v>233902</v>
      </c>
      <c r="Q1119">
        <v>1055183</v>
      </c>
      <c r="R1119">
        <v>14910</v>
      </c>
      <c r="S1119">
        <v>2665</v>
      </c>
      <c r="T1119">
        <v>3292</v>
      </c>
    </row>
    <row r="1120" spans="1:20" x14ac:dyDescent="0.2">
      <c r="A1120" s="22">
        <v>46045</v>
      </c>
      <c r="B1120">
        <v>32961</v>
      </c>
      <c r="C1120">
        <v>15939</v>
      </c>
      <c r="D1120">
        <v>18193</v>
      </c>
      <c r="E1120">
        <v>112</v>
      </c>
      <c r="F1120" s="21">
        <v>2623293</v>
      </c>
      <c r="G1120">
        <v>181725</v>
      </c>
      <c r="H1120">
        <v>1541</v>
      </c>
      <c r="I1120">
        <v>12554</v>
      </c>
      <c r="J1120">
        <v>14507782</v>
      </c>
      <c r="K1120">
        <v>1792598</v>
      </c>
      <c r="L1120">
        <v>713798</v>
      </c>
      <c r="M1120">
        <v>23284</v>
      </c>
      <c r="N1120">
        <v>1541</v>
      </c>
      <c r="O1120">
        <v>10806756</v>
      </c>
      <c r="P1120">
        <v>186725</v>
      </c>
      <c r="Q1120">
        <v>571945</v>
      </c>
      <c r="R1120">
        <v>11616</v>
      </c>
      <c r="S1120">
        <v>1976</v>
      </c>
      <c r="T1120">
        <v>3230</v>
      </c>
    </row>
    <row r="1121" spans="1:20" x14ac:dyDescent="0.2">
      <c r="A1121" s="22">
        <v>46046</v>
      </c>
      <c r="B1121">
        <v>37969</v>
      </c>
      <c r="C1121">
        <v>18151</v>
      </c>
      <c r="D1121">
        <v>19113</v>
      </c>
      <c r="E1121">
        <v>132</v>
      </c>
      <c r="F1121" s="21">
        <v>2254793</v>
      </c>
      <c r="G1121">
        <v>130427</v>
      </c>
      <c r="H1121">
        <v>1136</v>
      </c>
      <c r="I1121">
        <v>10541</v>
      </c>
      <c r="J1121">
        <v>12172614</v>
      </c>
      <c r="K1121">
        <v>1801414</v>
      </c>
      <c r="L1121">
        <v>564859</v>
      </c>
      <c r="M1121">
        <v>20313</v>
      </c>
      <c r="N1121">
        <v>1136</v>
      </c>
      <c r="O1121">
        <v>6561757</v>
      </c>
      <c r="P1121">
        <v>128713</v>
      </c>
      <c r="Q1121">
        <v>365767</v>
      </c>
      <c r="R1121">
        <v>7298</v>
      </c>
      <c r="S1121">
        <v>1402</v>
      </c>
      <c r="T1121">
        <v>3211</v>
      </c>
    </row>
    <row r="1122" spans="1:20" x14ac:dyDescent="0.2">
      <c r="A1122" s="22">
        <v>46047</v>
      </c>
      <c r="B1122">
        <v>29012</v>
      </c>
      <c r="C1122">
        <v>14569</v>
      </c>
      <c r="D1122">
        <v>15223</v>
      </c>
      <c r="E1122">
        <v>159</v>
      </c>
      <c r="F1122" s="21">
        <v>1045851</v>
      </c>
      <c r="G1122">
        <v>37436</v>
      </c>
      <c r="H1122">
        <v>717</v>
      </c>
      <c r="I1122">
        <v>4417</v>
      </c>
      <c r="J1122">
        <v>5901265</v>
      </c>
      <c r="K1122">
        <v>1548582</v>
      </c>
      <c r="L1122">
        <v>253976</v>
      </c>
      <c r="M1122">
        <v>12156</v>
      </c>
      <c r="N1122">
        <v>717</v>
      </c>
      <c r="O1122">
        <v>4927579</v>
      </c>
      <c r="P1122">
        <v>113970</v>
      </c>
      <c r="Q1122">
        <v>341473</v>
      </c>
      <c r="R1122">
        <v>5742</v>
      </c>
      <c r="S1122">
        <v>967</v>
      </c>
      <c r="T1122">
        <v>3613</v>
      </c>
    </row>
    <row r="1123" spans="1:20" x14ac:dyDescent="0.2">
      <c r="A1123" s="22">
        <v>46048</v>
      </c>
      <c r="B1123">
        <v>30255</v>
      </c>
      <c r="C1123">
        <v>14725</v>
      </c>
      <c r="D1123">
        <v>19020</v>
      </c>
      <c r="E1123">
        <v>112</v>
      </c>
      <c r="F1123" s="21">
        <v>2117077</v>
      </c>
      <c r="G1123">
        <v>138448</v>
      </c>
      <c r="H1123">
        <v>1472</v>
      </c>
      <c r="I1123">
        <v>8843</v>
      </c>
      <c r="J1123">
        <v>11684332</v>
      </c>
      <c r="K1123">
        <v>1603303</v>
      </c>
      <c r="L1123">
        <v>517264</v>
      </c>
      <c r="M1123">
        <v>17968</v>
      </c>
      <c r="N1123">
        <v>1472</v>
      </c>
      <c r="O1123">
        <v>6005515</v>
      </c>
      <c r="P1123">
        <v>157101</v>
      </c>
      <c r="Q1123">
        <v>406660</v>
      </c>
      <c r="R1123">
        <v>7551</v>
      </c>
      <c r="S1123">
        <v>1494</v>
      </c>
      <c r="T1123">
        <v>3816</v>
      </c>
    </row>
    <row r="1124" spans="1:20" x14ac:dyDescent="0.2">
      <c r="A1124" s="22">
        <v>46049</v>
      </c>
      <c r="B1124">
        <v>35418</v>
      </c>
      <c r="C1124">
        <v>16036</v>
      </c>
      <c r="D1124">
        <v>26656</v>
      </c>
      <c r="E1124">
        <v>88</v>
      </c>
      <c r="F1124" s="21">
        <v>2347459</v>
      </c>
      <c r="G1124">
        <v>157681</v>
      </c>
      <c r="H1124">
        <v>1591</v>
      </c>
      <c r="I1124">
        <v>9411</v>
      </c>
      <c r="J1124">
        <v>13477928</v>
      </c>
      <c r="K1124">
        <v>1825343</v>
      </c>
      <c r="L1124">
        <v>683531</v>
      </c>
      <c r="M1124">
        <v>22216</v>
      </c>
      <c r="N1124">
        <v>1591</v>
      </c>
      <c r="O1124">
        <v>8973002</v>
      </c>
      <c r="P1124">
        <v>175858</v>
      </c>
      <c r="Q1124">
        <v>492593</v>
      </c>
      <c r="R1124">
        <v>11267</v>
      </c>
      <c r="S1124">
        <v>3495</v>
      </c>
      <c r="T1124">
        <v>3981</v>
      </c>
    </row>
    <row r="1125" spans="1:20" x14ac:dyDescent="0.2">
      <c r="A1125" s="22">
        <v>46050</v>
      </c>
      <c r="B1125">
        <v>39063</v>
      </c>
      <c r="C1125">
        <v>14394</v>
      </c>
      <c r="D1125">
        <v>19946</v>
      </c>
      <c r="E1125">
        <v>117</v>
      </c>
      <c r="F1125" s="21">
        <v>2108901</v>
      </c>
      <c r="G1125">
        <v>120884</v>
      </c>
      <c r="H1125">
        <v>1673</v>
      </c>
      <c r="I1125">
        <v>8371</v>
      </c>
      <c r="J1125">
        <v>13017996</v>
      </c>
      <c r="K1125">
        <v>1797176</v>
      </c>
      <c r="L1125">
        <v>737188</v>
      </c>
      <c r="M1125">
        <v>19914</v>
      </c>
      <c r="N1125">
        <v>1673</v>
      </c>
      <c r="O1125">
        <v>8845563</v>
      </c>
      <c r="P1125">
        <v>186628</v>
      </c>
      <c r="Q1125">
        <v>598831</v>
      </c>
      <c r="R1125">
        <v>12770</v>
      </c>
      <c r="S1125">
        <v>1968</v>
      </c>
      <c r="T1125">
        <v>3528</v>
      </c>
    </row>
    <row r="1126" spans="1:20" x14ac:dyDescent="0.2">
      <c r="A1126" s="22">
        <v>46051</v>
      </c>
      <c r="B1126">
        <v>30802</v>
      </c>
      <c r="C1126">
        <v>12670</v>
      </c>
      <c r="D1126">
        <v>23407</v>
      </c>
      <c r="E1126">
        <v>71</v>
      </c>
      <c r="F1126" s="21">
        <v>2136812</v>
      </c>
      <c r="G1126">
        <v>119927</v>
      </c>
      <c r="H1126">
        <v>1604</v>
      </c>
      <c r="I1126">
        <v>9001</v>
      </c>
      <c r="J1126">
        <v>12142538</v>
      </c>
      <c r="K1126">
        <v>1780780</v>
      </c>
      <c r="L1126">
        <v>665754</v>
      </c>
      <c r="M1126">
        <v>19379</v>
      </c>
      <c r="N1126">
        <v>1604</v>
      </c>
      <c r="O1126">
        <v>9782080</v>
      </c>
      <c r="P1126">
        <v>137840</v>
      </c>
      <c r="Q1126">
        <v>407923</v>
      </c>
      <c r="R1126">
        <v>9545</v>
      </c>
      <c r="S1126">
        <v>2141</v>
      </c>
      <c r="T1126">
        <v>5570</v>
      </c>
    </row>
    <row r="1127" spans="1:20" x14ac:dyDescent="0.2">
      <c r="A1127" s="22">
        <v>46052</v>
      </c>
      <c r="B1127">
        <v>33929</v>
      </c>
      <c r="C1127">
        <v>18316</v>
      </c>
      <c r="D1127">
        <v>26183</v>
      </c>
      <c r="E1127">
        <v>113</v>
      </c>
      <c r="F1127" s="21">
        <v>1766275</v>
      </c>
      <c r="G1127">
        <v>102562</v>
      </c>
      <c r="H1127">
        <v>1049</v>
      </c>
      <c r="I1127">
        <v>7593</v>
      </c>
      <c r="J1127">
        <v>12111038</v>
      </c>
      <c r="K1127">
        <v>1804316</v>
      </c>
      <c r="L1127">
        <v>685971</v>
      </c>
      <c r="M1127">
        <v>17564</v>
      </c>
      <c r="N1127">
        <v>1049</v>
      </c>
      <c r="O1127">
        <v>5806125</v>
      </c>
      <c r="P1127">
        <v>92730</v>
      </c>
      <c r="Q1127">
        <v>296642</v>
      </c>
      <c r="R1127">
        <v>5879</v>
      </c>
      <c r="S1127">
        <v>1302</v>
      </c>
      <c r="T1127">
        <v>5471</v>
      </c>
    </row>
    <row r="1128" spans="1:20" x14ac:dyDescent="0.2">
      <c r="A1128" s="22">
        <v>46053</v>
      </c>
      <c r="B1128">
        <v>35686</v>
      </c>
      <c r="C1128">
        <v>18025</v>
      </c>
      <c r="D1128">
        <v>28538</v>
      </c>
      <c r="E1128">
        <v>173</v>
      </c>
      <c r="F1128" s="21">
        <v>1558014</v>
      </c>
      <c r="G1128">
        <v>86087</v>
      </c>
      <c r="H1128">
        <v>893</v>
      </c>
      <c r="I1128">
        <v>6383</v>
      </c>
      <c r="J1128">
        <v>11657545</v>
      </c>
      <c r="K1128">
        <v>1712707</v>
      </c>
      <c r="L1128">
        <v>571016</v>
      </c>
      <c r="M1128">
        <v>20352</v>
      </c>
      <c r="N1128">
        <v>893</v>
      </c>
      <c r="O1128">
        <v>3835592</v>
      </c>
      <c r="P1128">
        <v>75393</v>
      </c>
      <c r="Q1128">
        <v>188958</v>
      </c>
      <c r="R1128">
        <v>4995</v>
      </c>
      <c r="S1128">
        <v>1214</v>
      </c>
      <c r="T1128">
        <v>5901</v>
      </c>
    </row>
    <row r="1129" spans="1:20" x14ac:dyDescent="0.2">
      <c r="A1129" s="22">
        <v>46054</v>
      </c>
      <c r="B1129">
        <v>31471</v>
      </c>
      <c r="C1129">
        <v>13583</v>
      </c>
      <c r="D1129">
        <v>23431</v>
      </c>
      <c r="E1129">
        <v>138</v>
      </c>
      <c r="F1129" s="21">
        <v>807415</v>
      </c>
      <c r="G1129">
        <v>26573</v>
      </c>
      <c r="H1129">
        <v>550</v>
      </c>
      <c r="I1129">
        <v>3700</v>
      </c>
      <c r="J1129">
        <v>8681639</v>
      </c>
      <c r="K1129">
        <v>1681466</v>
      </c>
      <c r="L1129">
        <v>456026</v>
      </c>
      <c r="M1129">
        <v>17121</v>
      </c>
      <c r="N1129">
        <v>550</v>
      </c>
      <c r="O1129">
        <v>4298024</v>
      </c>
      <c r="P1129">
        <v>96064</v>
      </c>
      <c r="Q1129">
        <v>225259</v>
      </c>
      <c r="R1129">
        <v>6480</v>
      </c>
      <c r="S1129">
        <v>1323</v>
      </c>
      <c r="T1129">
        <v>5929</v>
      </c>
    </row>
    <row r="1130" spans="1:20" x14ac:dyDescent="0.2">
      <c r="A1130" s="22">
        <v>46055</v>
      </c>
      <c r="B1130">
        <v>37653</v>
      </c>
      <c r="C1130">
        <v>20351</v>
      </c>
      <c r="D1130">
        <v>27206</v>
      </c>
      <c r="E1130">
        <v>145</v>
      </c>
      <c r="F1130" s="21">
        <v>2379889</v>
      </c>
      <c r="G1130">
        <v>142573</v>
      </c>
      <c r="H1130">
        <v>1280</v>
      </c>
      <c r="I1130">
        <v>10407</v>
      </c>
      <c r="J1130">
        <v>15074976</v>
      </c>
      <c r="K1130">
        <v>1800657</v>
      </c>
      <c r="L1130">
        <v>711780</v>
      </c>
      <c r="M1130">
        <v>21694</v>
      </c>
      <c r="N1130">
        <v>1280</v>
      </c>
      <c r="O1130">
        <v>5001860</v>
      </c>
      <c r="P1130">
        <v>132886</v>
      </c>
      <c r="Q1130">
        <v>458677</v>
      </c>
      <c r="R1130">
        <v>6015</v>
      </c>
      <c r="S1130">
        <v>1281</v>
      </c>
      <c r="T1130">
        <v>6681</v>
      </c>
    </row>
    <row r="1131" spans="1:20" x14ac:dyDescent="0.2">
      <c r="A1131" s="22">
        <v>46056</v>
      </c>
      <c r="B1131">
        <v>31678</v>
      </c>
      <c r="C1131">
        <v>13501</v>
      </c>
      <c r="D1131">
        <v>16115</v>
      </c>
      <c r="E1131">
        <v>159</v>
      </c>
      <c r="F1131" s="21">
        <v>2244576</v>
      </c>
      <c r="G1131">
        <v>148379</v>
      </c>
      <c r="H1131">
        <v>1324</v>
      </c>
      <c r="I1131">
        <v>9789</v>
      </c>
      <c r="J1131">
        <v>14686206</v>
      </c>
      <c r="K1131">
        <v>2446795</v>
      </c>
      <c r="L1131">
        <v>687372</v>
      </c>
      <c r="M1131">
        <v>21127</v>
      </c>
      <c r="N1131">
        <v>1324</v>
      </c>
      <c r="O1131">
        <v>6192827</v>
      </c>
      <c r="P1131">
        <v>185598</v>
      </c>
      <c r="Q1131">
        <v>613608</v>
      </c>
      <c r="R1131">
        <v>7164</v>
      </c>
      <c r="S1131">
        <v>1535</v>
      </c>
      <c r="T1131">
        <v>7047</v>
      </c>
    </row>
    <row r="1132" spans="1:20" x14ac:dyDescent="0.2">
      <c r="A1132" s="22">
        <v>46057</v>
      </c>
      <c r="B1132">
        <v>36745</v>
      </c>
      <c r="C1132">
        <v>13242</v>
      </c>
      <c r="D1132">
        <v>18411</v>
      </c>
      <c r="E1132">
        <v>160</v>
      </c>
      <c r="F1132" s="21">
        <v>2194652</v>
      </c>
      <c r="G1132">
        <v>150019</v>
      </c>
      <c r="H1132">
        <v>1556</v>
      </c>
      <c r="I1132">
        <v>8570</v>
      </c>
      <c r="J1132">
        <v>10444374</v>
      </c>
      <c r="K1132">
        <v>1768407</v>
      </c>
      <c r="L1132">
        <v>473723</v>
      </c>
      <c r="M1132">
        <v>18091</v>
      </c>
      <c r="N1132">
        <v>1556</v>
      </c>
      <c r="O1132">
        <v>7232801</v>
      </c>
      <c r="P1132">
        <v>151210</v>
      </c>
      <c r="Q1132">
        <v>616375</v>
      </c>
      <c r="R1132">
        <v>8080</v>
      </c>
      <c r="S1132">
        <v>2033</v>
      </c>
      <c r="T1132">
        <v>6648</v>
      </c>
    </row>
    <row r="1133" spans="1:20" x14ac:dyDescent="0.2">
      <c r="A1133" s="22">
        <v>46058</v>
      </c>
      <c r="B1133">
        <v>25726</v>
      </c>
      <c r="C1133">
        <v>10922</v>
      </c>
      <c r="D1133">
        <v>16469</v>
      </c>
      <c r="E1133">
        <v>101</v>
      </c>
      <c r="F1133" s="21">
        <v>2177803</v>
      </c>
      <c r="G1133">
        <v>151171</v>
      </c>
      <c r="H1133">
        <v>2556</v>
      </c>
      <c r="I1133">
        <v>8982</v>
      </c>
      <c r="J1133">
        <v>12321932</v>
      </c>
      <c r="K1133">
        <v>1695255</v>
      </c>
      <c r="L1133">
        <v>559315</v>
      </c>
      <c r="M1133">
        <v>20716</v>
      </c>
      <c r="N1133">
        <v>2556</v>
      </c>
      <c r="O1133">
        <v>7398973</v>
      </c>
      <c r="P1133">
        <v>177758</v>
      </c>
      <c r="Q1133">
        <v>889556</v>
      </c>
      <c r="R1133">
        <v>9828</v>
      </c>
      <c r="S1133">
        <v>2154</v>
      </c>
      <c r="T1133">
        <v>5201</v>
      </c>
    </row>
    <row r="1134" spans="1:20" x14ac:dyDescent="0.2">
      <c r="A1134" s="22">
        <v>46059</v>
      </c>
      <c r="B1134">
        <v>31919</v>
      </c>
      <c r="C1134">
        <v>15739</v>
      </c>
      <c r="D1134">
        <v>19018</v>
      </c>
      <c r="E1134">
        <v>108</v>
      </c>
      <c r="F1134" s="21">
        <v>2450437</v>
      </c>
      <c r="G1134">
        <v>167449</v>
      </c>
      <c r="H1134">
        <v>2369</v>
      </c>
      <c r="I1134">
        <v>11324</v>
      </c>
      <c r="J1134">
        <v>13069188</v>
      </c>
      <c r="K1134">
        <v>1599970</v>
      </c>
      <c r="L1134">
        <v>665184</v>
      </c>
      <c r="M1134">
        <v>19782</v>
      </c>
      <c r="N1134">
        <v>2369</v>
      </c>
      <c r="O1134">
        <v>10238831</v>
      </c>
      <c r="P1134">
        <v>161746</v>
      </c>
      <c r="Q1134">
        <v>1011879</v>
      </c>
      <c r="R1134">
        <v>8478</v>
      </c>
      <c r="S1134">
        <v>2053</v>
      </c>
      <c r="T1134">
        <v>4408</v>
      </c>
    </row>
    <row r="1135" spans="1:20" x14ac:dyDescent="0.2">
      <c r="A1135" s="22">
        <v>46060</v>
      </c>
      <c r="B1135">
        <v>36960</v>
      </c>
      <c r="C1135">
        <v>16271</v>
      </c>
      <c r="D1135">
        <v>28463</v>
      </c>
      <c r="E1135">
        <v>93</v>
      </c>
      <c r="F1135" s="21">
        <v>1873689</v>
      </c>
      <c r="G1135">
        <v>134432</v>
      </c>
      <c r="H1135">
        <v>2307</v>
      </c>
      <c r="I1135">
        <v>7453</v>
      </c>
      <c r="J1135">
        <v>10136234</v>
      </c>
      <c r="K1135">
        <v>1490007</v>
      </c>
      <c r="L1135">
        <v>550170</v>
      </c>
      <c r="M1135">
        <v>17967</v>
      </c>
      <c r="N1135">
        <v>2307</v>
      </c>
      <c r="O1135">
        <v>6687301</v>
      </c>
      <c r="P1135">
        <v>132816</v>
      </c>
      <c r="Q1135">
        <v>609439</v>
      </c>
      <c r="R1135">
        <v>7194</v>
      </c>
      <c r="S1135">
        <v>1873</v>
      </c>
      <c r="T1135">
        <v>4131</v>
      </c>
    </row>
    <row r="1136" spans="1:20" x14ac:dyDescent="0.2">
      <c r="A1136" s="22">
        <v>46061</v>
      </c>
      <c r="B1136">
        <v>36086</v>
      </c>
      <c r="C1136">
        <v>12974</v>
      </c>
      <c r="D1136">
        <v>18833</v>
      </c>
      <c r="E1136">
        <v>166</v>
      </c>
      <c r="F1136" s="21">
        <v>1688404</v>
      </c>
      <c r="G1136">
        <v>100286</v>
      </c>
      <c r="H1136">
        <v>2055</v>
      </c>
      <c r="I1136">
        <v>7768</v>
      </c>
      <c r="J1136">
        <v>6287300</v>
      </c>
      <c r="K1136">
        <v>1399055</v>
      </c>
      <c r="L1136">
        <v>305450</v>
      </c>
      <c r="M1136">
        <v>13452</v>
      </c>
      <c r="N1136">
        <v>2055</v>
      </c>
      <c r="O1136">
        <v>5280129</v>
      </c>
      <c r="P1136">
        <v>114028</v>
      </c>
      <c r="Q1136">
        <v>435533</v>
      </c>
      <c r="R1136">
        <v>6246</v>
      </c>
      <c r="S1136">
        <v>1240</v>
      </c>
      <c r="T1136">
        <v>4395</v>
      </c>
    </row>
    <row r="1137" spans="1:20" x14ac:dyDescent="0.2">
      <c r="A1137" s="22">
        <v>46062</v>
      </c>
      <c r="B1137">
        <v>34346</v>
      </c>
      <c r="C1137">
        <v>14472</v>
      </c>
      <c r="D1137">
        <v>26398</v>
      </c>
      <c r="E1137">
        <v>110</v>
      </c>
      <c r="F1137" s="21">
        <v>2710444</v>
      </c>
      <c r="G1137">
        <v>191496</v>
      </c>
      <c r="H1137">
        <v>3355</v>
      </c>
      <c r="I1137">
        <v>12060</v>
      </c>
      <c r="J1137">
        <v>13123667</v>
      </c>
      <c r="K1137">
        <v>1661577</v>
      </c>
      <c r="L1137">
        <v>608428</v>
      </c>
      <c r="M1137">
        <v>22178</v>
      </c>
      <c r="N1137">
        <v>3355</v>
      </c>
      <c r="O1137">
        <v>4974508</v>
      </c>
      <c r="P1137">
        <v>131328</v>
      </c>
      <c r="Q1137">
        <v>433288</v>
      </c>
      <c r="R1137">
        <v>6759</v>
      </c>
      <c r="S1137">
        <v>1695</v>
      </c>
      <c r="T1137">
        <v>4750</v>
      </c>
    </row>
    <row r="1138" spans="1:20" x14ac:dyDescent="0.2">
      <c r="A1138" s="22">
        <v>46063</v>
      </c>
      <c r="B1138">
        <v>36773</v>
      </c>
      <c r="C1138">
        <v>13128</v>
      </c>
      <c r="D1138">
        <v>21241</v>
      </c>
      <c r="E1138">
        <v>124</v>
      </c>
      <c r="F1138" s="21">
        <v>2526695</v>
      </c>
      <c r="G1138">
        <v>202042</v>
      </c>
      <c r="H1138">
        <v>4399</v>
      </c>
      <c r="I1138">
        <v>10906</v>
      </c>
      <c r="J1138">
        <v>13403237</v>
      </c>
      <c r="K1138">
        <v>1907547</v>
      </c>
      <c r="L1138">
        <v>682087</v>
      </c>
      <c r="M1138">
        <v>22698</v>
      </c>
      <c r="N1138">
        <v>4399</v>
      </c>
      <c r="O1138">
        <v>7260275</v>
      </c>
      <c r="P1138">
        <v>174967</v>
      </c>
      <c r="Q1138">
        <v>501168</v>
      </c>
      <c r="R1138">
        <v>9589</v>
      </c>
      <c r="S1138">
        <v>2058</v>
      </c>
      <c r="T1138">
        <v>4868</v>
      </c>
    </row>
    <row r="1139" spans="1:20" x14ac:dyDescent="0.2">
      <c r="A1139" s="22">
        <v>46064</v>
      </c>
      <c r="B1139">
        <v>31274</v>
      </c>
      <c r="C1139">
        <v>11772</v>
      </c>
      <c r="D1139">
        <v>22308</v>
      </c>
      <c r="E1139">
        <v>104</v>
      </c>
      <c r="F1139" s="21">
        <v>2202289</v>
      </c>
      <c r="G1139">
        <v>178395</v>
      </c>
      <c r="H1139">
        <v>3250</v>
      </c>
      <c r="I1139">
        <v>8545</v>
      </c>
      <c r="J1139">
        <v>12881777</v>
      </c>
      <c r="K1139">
        <v>1682954</v>
      </c>
      <c r="L1139">
        <v>745311</v>
      </c>
      <c r="M1139">
        <v>22913</v>
      </c>
      <c r="N1139">
        <v>3250</v>
      </c>
      <c r="O1139">
        <v>8801856</v>
      </c>
      <c r="P1139">
        <v>171549</v>
      </c>
      <c r="Q1139">
        <v>638570</v>
      </c>
      <c r="R1139">
        <v>13913</v>
      </c>
      <c r="S1139">
        <v>2907</v>
      </c>
      <c r="T1139">
        <v>4661</v>
      </c>
    </row>
    <row r="1140" spans="1:20" x14ac:dyDescent="0.2">
      <c r="A1140" s="22">
        <v>46065</v>
      </c>
      <c r="B1140">
        <v>25311</v>
      </c>
      <c r="C1140">
        <v>11495</v>
      </c>
      <c r="D1140">
        <v>13812</v>
      </c>
      <c r="E1140">
        <v>69</v>
      </c>
      <c r="F1140" s="21">
        <v>2080274</v>
      </c>
      <c r="G1140">
        <v>149858</v>
      </c>
      <c r="H1140">
        <v>1384</v>
      </c>
      <c r="I1140">
        <v>9826</v>
      </c>
      <c r="J1140">
        <v>13759193</v>
      </c>
      <c r="K1140">
        <v>1626619</v>
      </c>
      <c r="L1140">
        <v>602518</v>
      </c>
      <c r="M1140">
        <v>24169</v>
      </c>
      <c r="N1140">
        <v>1384</v>
      </c>
      <c r="O1140">
        <v>8631242</v>
      </c>
      <c r="P1140">
        <v>174063</v>
      </c>
      <c r="Q1140">
        <v>863644</v>
      </c>
      <c r="R1140">
        <v>10239</v>
      </c>
      <c r="S1140">
        <v>2286</v>
      </c>
      <c r="T1140">
        <v>5021</v>
      </c>
    </row>
    <row r="1141" spans="1:20" x14ac:dyDescent="0.2">
      <c r="A1141" s="22">
        <v>46066</v>
      </c>
      <c r="B1141">
        <v>39529</v>
      </c>
      <c r="C1141">
        <v>14523</v>
      </c>
      <c r="D1141">
        <v>19991</v>
      </c>
      <c r="E1141">
        <v>158</v>
      </c>
      <c r="F1141" s="21">
        <v>1918999</v>
      </c>
      <c r="G1141">
        <v>177065</v>
      </c>
      <c r="H1141">
        <v>1432</v>
      </c>
      <c r="I1141">
        <v>8188</v>
      </c>
      <c r="J1141">
        <v>10112698</v>
      </c>
      <c r="K1141">
        <v>1527187</v>
      </c>
      <c r="L1141">
        <v>520095</v>
      </c>
      <c r="M1141">
        <v>18701</v>
      </c>
      <c r="N1141">
        <v>1432</v>
      </c>
      <c r="O1141">
        <v>7327249</v>
      </c>
      <c r="P1141">
        <v>159825</v>
      </c>
      <c r="Q1141">
        <v>538027</v>
      </c>
      <c r="R1141">
        <v>8530</v>
      </c>
      <c r="S1141">
        <v>1850</v>
      </c>
      <c r="T1141">
        <v>4760</v>
      </c>
    </row>
    <row r="1142" spans="1:20" x14ac:dyDescent="0.2">
      <c r="A1142" s="22">
        <v>46067</v>
      </c>
      <c r="B1142">
        <v>36086</v>
      </c>
      <c r="C1142">
        <v>19130</v>
      </c>
      <c r="D1142">
        <v>22358</v>
      </c>
      <c r="E1142">
        <v>154</v>
      </c>
      <c r="F1142" s="21">
        <v>1625515</v>
      </c>
      <c r="G1142">
        <v>120762</v>
      </c>
      <c r="H1142">
        <v>852</v>
      </c>
      <c r="I1142">
        <v>7030</v>
      </c>
      <c r="J1142">
        <v>10235945</v>
      </c>
      <c r="K1142">
        <v>1703637</v>
      </c>
      <c r="L1142">
        <v>472005</v>
      </c>
      <c r="M1142">
        <v>21384</v>
      </c>
      <c r="N1142">
        <v>852</v>
      </c>
      <c r="O1142">
        <v>7112139</v>
      </c>
      <c r="P1142">
        <v>146688</v>
      </c>
      <c r="Q1142">
        <v>767099</v>
      </c>
      <c r="R1142">
        <v>8020</v>
      </c>
      <c r="S1142">
        <v>1815</v>
      </c>
      <c r="T1142">
        <v>3996</v>
      </c>
    </row>
    <row r="1143" spans="1:20" x14ac:dyDescent="0.2">
      <c r="A1143" s="22">
        <v>46068</v>
      </c>
      <c r="B1143">
        <v>29851</v>
      </c>
      <c r="C1143">
        <v>12855</v>
      </c>
      <c r="D1143">
        <v>17216</v>
      </c>
      <c r="E1143">
        <v>72</v>
      </c>
      <c r="F1143" s="21">
        <v>1063504</v>
      </c>
      <c r="G1143">
        <v>74783</v>
      </c>
      <c r="H1143">
        <v>870</v>
      </c>
      <c r="I1143">
        <v>4556</v>
      </c>
      <c r="J1143">
        <v>7969256</v>
      </c>
      <c r="K1143">
        <v>1741554</v>
      </c>
      <c r="L1143">
        <v>430535</v>
      </c>
      <c r="M1143">
        <v>15407</v>
      </c>
      <c r="N1143">
        <v>870</v>
      </c>
      <c r="O1143">
        <v>4634931</v>
      </c>
      <c r="P1143">
        <v>98108</v>
      </c>
      <c r="Q1143">
        <v>469421</v>
      </c>
      <c r="R1143">
        <v>4961</v>
      </c>
      <c r="S1143">
        <v>973</v>
      </c>
      <c r="T1143">
        <v>4006</v>
      </c>
    </row>
    <row r="1144" spans="1:20" x14ac:dyDescent="0.2">
      <c r="A1144" s="22">
        <v>46069</v>
      </c>
      <c r="B1144">
        <v>38727</v>
      </c>
      <c r="C1144">
        <v>19208</v>
      </c>
      <c r="D1144">
        <v>28700</v>
      </c>
      <c r="E1144">
        <v>107</v>
      </c>
      <c r="F1144" s="21">
        <v>1825982</v>
      </c>
      <c r="G1144">
        <v>163275</v>
      </c>
      <c r="H1144">
        <v>1487</v>
      </c>
      <c r="I1144">
        <v>6757</v>
      </c>
      <c r="J1144">
        <v>13897213</v>
      </c>
      <c r="K1144">
        <v>2253791</v>
      </c>
      <c r="L1144">
        <v>752375</v>
      </c>
      <c r="M1144">
        <v>21618</v>
      </c>
      <c r="N1144">
        <v>1487</v>
      </c>
      <c r="O1144">
        <v>7600855</v>
      </c>
      <c r="P1144">
        <v>158360</v>
      </c>
      <c r="Q1144">
        <v>567697</v>
      </c>
      <c r="R1144">
        <v>10870</v>
      </c>
      <c r="S1144">
        <v>2427</v>
      </c>
      <c r="T1144">
        <v>4782</v>
      </c>
    </row>
    <row r="1145" spans="1:20" x14ac:dyDescent="0.2">
      <c r="A1145" s="22">
        <v>46070</v>
      </c>
      <c r="B1145">
        <v>35442</v>
      </c>
      <c r="C1145">
        <v>15294</v>
      </c>
      <c r="D1145">
        <v>21454</v>
      </c>
      <c r="E1145">
        <v>108</v>
      </c>
      <c r="F1145" s="21">
        <v>1434932</v>
      </c>
      <c r="G1145">
        <v>121492</v>
      </c>
      <c r="H1145">
        <v>1194</v>
      </c>
      <c r="I1145">
        <v>6871</v>
      </c>
      <c r="J1145">
        <v>11157484</v>
      </c>
      <c r="K1145">
        <v>2027509</v>
      </c>
      <c r="L1145">
        <v>571332</v>
      </c>
      <c r="M1145">
        <v>20954</v>
      </c>
      <c r="N1145">
        <v>1194</v>
      </c>
      <c r="O1145">
        <v>11051932</v>
      </c>
      <c r="P1145">
        <v>161869</v>
      </c>
      <c r="Q1145">
        <v>464785</v>
      </c>
      <c r="R1145">
        <v>13564</v>
      </c>
      <c r="S1145">
        <v>2668</v>
      </c>
      <c r="T1145">
        <v>4322</v>
      </c>
    </row>
    <row r="1146" spans="1:20" x14ac:dyDescent="0.2">
      <c r="A1146" s="22">
        <v>46071</v>
      </c>
      <c r="B1146">
        <v>39777</v>
      </c>
      <c r="C1146">
        <v>16161</v>
      </c>
      <c r="D1146">
        <v>21032</v>
      </c>
      <c r="E1146">
        <v>86</v>
      </c>
      <c r="F1146" s="21">
        <v>1890066</v>
      </c>
      <c r="G1146">
        <v>142918</v>
      </c>
      <c r="H1146">
        <v>1185</v>
      </c>
      <c r="I1146">
        <v>7905</v>
      </c>
      <c r="J1146">
        <v>11915175</v>
      </c>
      <c r="K1146">
        <v>1841087</v>
      </c>
      <c r="L1146">
        <v>489224</v>
      </c>
      <c r="M1146">
        <v>32565</v>
      </c>
      <c r="N1146">
        <v>1185</v>
      </c>
      <c r="O1146">
        <v>13604778</v>
      </c>
      <c r="P1146">
        <v>193693</v>
      </c>
      <c r="Q1146">
        <v>890875</v>
      </c>
      <c r="R1146">
        <v>18741</v>
      </c>
      <c r="S1146">
        <v>4890</v>
      </c>
      <c r="T1146">
        <v>4901</v>
      </c>
    </row>
    <row r="1147" spans="1:20" x14ac:dyDescent="0.2">
      <c r="A1147" s="22">
        <v>46072</v>
      </c>
      <c r="B1147">
        <v>31749</v>
      </c>
      <c r="C1147">
        <v>17120</v>
      </c>
      <c r="D1147">
        <v>22206</v>
      </c>
      <c r="E1147">
        <v>79</v>
      </c>
      <c r="F1147" s="21">
        <v>1710345</v>
      </c>
      <c r="G1147">
        <v>126245</v>
      </c>
      <c r="H1147">
        <v>1134</v>
      </c>
      <c r="I1147">
        <v>7448</v>
      </c>
      <c r="J1147">
        <v>11724098</v>
      </c>
      <c r="K1147">
        <v>1860916</v>
      </c>
      <c r="L1147">
        <v>595041</v>
      </c>
      <c r="M1147">
        <v>26002</v>
      </c>
      <c r="N1147">
        <v>1134</v>
      </c>
      <c r="O1147">
        <v>8102317</v>
      </c>
      <c r="P1147">
        <v>151083</v>
      </c>
      <c r="Q1147">
        <v>496467</v>
      </c>
      <c r="R1147">
        <v>8859</v>
      </c>
      <c r="S1147">
        <v>2060</v>
      </c>
      <c r="T1147">
        <v>4824</v>
      </c>
    </row>
    <row r="1148" spans="1:20" x14ac:dyDescent="0.2">
      <c r="A1148" s="22">
        <v>46073</v>
      </c>
      <c r="B1148">
        <v>37948</v>
      </c>
      <c r="C1148">
        <v>16098</v>
      </c>
      <c r="D1148">
        <v>27584</v>
      </c>
      <c r="E1148">
        <v>174</v>
      </c>
      <c r="F1148" s="21">
        <v>2045467</v>
      </c>
      <c r="G1148">
        <v>131901</v>
      </c>
      <c r="H1148">
        <v>1398</v>
      </c>
      <c r="I1148">
        <v>9441</v>
      </c>
      <c r="J1148">
        <v>10367461</v>
      </c>
      <c r="K1148">
        <v>1865981</v>
      </c>
      <c r="L1148">
        <v>509747</v>
      </c>
      <c r="M1148">
        <v>18680</v>
      </c>
      <c r="N1148">
        <v>1398</v>
      </c>
      <c r="O1148">
        <v>9824890</v>
      </c>
      <c r="P1148">
        <v>191869</v>
      </c>
      <c r="Q1148">
        <v>581436</v>
      </c>
      <c r="R1148">
        <v>10275</v>
      </c>
      <c r="S1148">
        <v>2525</v>
      </c>
      <c r="T1148">
        <v>4789</v>
      </c>
    </row>
    <row r="1149" spans="1:20" x14ac:dyDescent="0.2">
      <c r="A1149" s="22">
        <v>46074</v>
      </c>
      <c r="B1149">
        <v>29301</v>
      </c>
      <c r="C1149">
        <v>11408</v>
      </c>
      <c r="D1149">
        <v>20366</v>
      </c>
      <c r="E1149">
        <v>103</v>
      </c>
      <c r="F1149" s="21">
        <v>1251893</v>
      </c>
      <c r="G1149">
        <v>94186</v>
      </c>
      <c r="H1149">
        <v>1085</v>
      </c>
      <c r="I1149">
        <v>5436</v>
      </c>
      <c r="J1149">
        <v>12649441</v>
      </c>
      <c r="K1149">
        <v>1951654</v>
      </c>
      <c r="L1149">
        <v>614053</v>
      </c>
      <c r="M1149">
        <v>22595</v>
      </c>
      <c r="N1149">
        <v>1085</v>
      </c>
      <c r="O1149">
        <v>10835038</v>
      </c>
      <c r="P1149">
        <v>173300</v>
      </c>
      <c r="Q1149">
        <v>859715</v>
      </c>
      <c r="R1149">
        <v>14310</v>
      </c>
      <c r="S1149">
        <v>2251</v>
      </c>
      <c r="T1149">
        <v>4923</v>
      </c>
    </row>
    <row r="1150" spans="1:20" x14ac:dyDescent="0.2">
      <c r="A1150" s="22">
        <v>46075</v>
      </c>
      <c r="B1150">
        <v>33357</v>
      </c>
      <c r="C1150">
        <v>14283</v>
      </c>
      <c r="D1150">
        <v>19576</v>
      </c>
      <c r="E1150">
        <v>74</v>
      </c>
      <c r="F1150" s="21">
        <v>919961</v>
      </c>
      <c r="G1150">
        <v>57127</v>
      </c>
      <c r="H1150">
        <v>740</v>
      </c>
      <c r="I1150">
        <v>4253</v>
      </c>
      <c r="J1150">
        <v>10869560</v>
      </c>
      <c r="K1150">
        <v>2471563</v>
      </c>
      <c r="L1150">
        <v>571729</v>
      </c>
      <c r="M1150">
        <v>18917</v>
      </c>
      <c r="N1150">
        <v>740</v>
      </c>
      <c r="O1150">
        <v>9591028</v>
      </c>
      <c r="P1150">
        <v>156146</v>
      </c>
      <c r="Q1150">
        <v>575743</v>
      </c>
      <c r="R1150">
        <v>12558</v>
      </c>
      <c r="S1150">
        <v>2225</v>
      </c>
      <c r="T1150">
        <v>4901</v>
      </c>
    </row>
    <row r="1151" spans="1:20" x14ac:dyDescent="0.2">
      <c r="A1151" s="22">
        <v>46076</v>
      </c>
      <c r="B1151">
        <v>27194</v>
      </c>
      <c r="C1151">
        <v>14360</v>
      </c>
      <c r="D1151">
        <v>16299</v>
      </c>
      <c r="E1151">
        <v>75</v>
      </c>
      <c r="F1151" s="21">
        <v>2034578</v>
      </c>
      <c r="G1151">
        <v>151846</v>
      </c>
      <c r="H1151">
        <v>2627</v>
      </c>
      <c r="I1151">
        <v>9512</v>
      </c>
      <c r="J1151">
        <v>13526484</v>
      </c>
      <c r="K1151">
        <v>2916797</v>
      </c>
      <c r="L1151">
        <v>601920</v>
      </c>
      <c r="M1151">
        <v>20914</v>
      </c>
      <c r="N1151">
        <v>2627</v>
      </c>
      <c r="O1151">
        <v>7468722</v>
      </c>
      <c r="P1151">
        <v>172757</v>
      </c>
      <c r="Q1151">
        <v>628128</v>
      </c>
      <c r="R1151">
        <v>11957</v>
      </c>
      <c r="S1151">
        <v>2613</v>
      </c>
      <c r="T1151">
        <v>4157</v>
      </c>
    </row>
    <row r="1152" spans="1:20" x14ac:dyDescent="0.2">
      <c r="A1152" s="22">
        <v>46077</v>
      </c>
      <c r="B1152">
        <v>32546</v>
      </c>
      <c r="C1152">
        <v>11906</v>
      </c>
      <c r="D1152">
        <v>23849</v>
      </c>
      <c r="E1152">
        <v>104</v>
      </c>
      <c r="F1152" s="21">
        <v>2094571</v>
      </c>
      <c r="G1152">
        <v>152266</v>
      </c>
      <c r="H1152">
        <v>1505</v>
      </c>
      <c r="I1152">
        <v>8591</v>
      </c>
      <c r="J1152">
        <v>12831282</v>
      </c>
      <c r="K1152">
        <v>1944835</v>
      </c>
      <c r="L1152">
        <v>675796</v>
      </c>
      <c r="M1152">
        <v>26457</v>
      </c>
      <c r="N1152">
        <v>1505</v>
      </c>
      <c r="O1152">
        <v>7836218</v>
      </c>
      <c r="P1152">
        <v>146835</v>
      </c>
      <c r="Q1152">
        <v>628427</v>
      </c>
      <c r="R1152">
        <v>9266</v>
      </c>
      <c r="S1152">
        <v>1944</v>
      </c>
      <c r="T1152">
        <v>4081</v>
      </c>
    </row>
    <row r="1153" spans="1:20" x14ac:dyDescent="0.2">
      <c r="A1153" s="22">
        <v>46078</v>
      </c>
      <c r="B1153">
        <v>32591</v>
      </c>
      <c r="C1153">
        <v>13002</v>
      </c>
      <c r="D1153">
        <v>21884</v>
      </c>
      <c r="E1153">
        <v>91</v>
      </c>
      <c r="F1153" s="21">
        <v>1803748</v>
      </c>
      <c r="G1153">
        <v>137668</v>
      </c>
      <c r="H1153">
        <v>1476</v>
      </c>
      <c r="I1153">
        <v>7967</v>
      </c>
      <c r="J1153">
        <v>13094374</v>
      </c>
      <c r="K1153">
        <v>1960074</v>
      </c>
      <c r="L1153">
        <v>746037</v>
      </c>
      <c r="M1153">
        <v>24012</v>
      </c>
      <c r="N1153">
        <v>1476</v>
      </c>
      <c r="O1153">
        <v>8089023</v>
      </c>
      <c r="P1153">
        <v>168666</v>
      </c>
      <c r="Q1153">
        <v>568811</v>
      </c>
      <c r="R1153">
        <v>9516</v>
      </c>
      <c r="S1153">
        <v>2064</v>
      </c>
      <c r="T1153">
        <v>4194</v>
      </c>
    </row>
    <row r="1154" spans="1:20" x14ac:dyDescent="0.2">
      <c r="A1154" s="22">
        <v>46079</v>
      </c>
      <c r="B1154">
        <v>35330</v>
      </c>
      <c r="C1154">
        <v>17787</v>
      </c>
      <c r="D1154">
        <v>18083</v>
      </c>
      <c r="E1154">
        <v>94</v>
      </c>
      <c r="F1154" s="21">
        <v>2012432</v>
      </c>
      <c r="G1154">
        <v>165419</v>
      </c>
      <c r="H1154">
        <v>1426</v>
      </c>
      <c r="I1154">
        <v>9484</v>
      </c>
      <c r="J1154">
        <v>11891318</v>
      </c>
      <c r="K1154">
        <v>1814104</v>
      </c>
      <c r="L1154">
        <v>646924</v>
      </c>
      <c r="M1154">
        <v>24959</v>
      </c>
      <c r="N1154">
        <v>1426</v>
      </c>
      <c r="O1154">
        <v>9643977</v>
      </c>
      <c r="P1154">
        <v>196338</v>
      </c>
      <c r="Q1154">
        <v>580792</v>
      </c>
      <c r="R1154">
        <v>13864</v>
      </c>
      <c r="S1154">
        <v>3492</v>
      </c>
      <c r="T1154">
        <v>3675</v>
      </c>
    </row>
    <row r="1155" spans="1:20" x14ac:dyDescent="0.2">
      <c r="A1155" s="22">
        <v>46080</v>
      </c>
      <c r="B1155">
        <v>38773</v>
      </c>
      <c r="C1155">
        <v>16510</v>
      </c>
      <c r="D1155">
        <v>26371</v>
      </c>
      <c r="E1155">
        <v>132</v>
      </c>
      <c r="F1155" s="21">
        <v>1349463</v>
      </c>
      <c r="G1155">
        <v>78336</v>
      </c>
      <c r="H1155">
        <v>982</v>
      </c>
      <c r="I1155">
        <v>5467</v>
      </c>
      <c r="J1155">
        <v>12386796</v>
      </c>
      <c r="K1155">
        <v>1866979</v>
      </c>
      <c r="L1155">
        <v>600194</v>
      </c>
      <c r="M1155">
        <v>22419</v>
      </c>
      <c r="N1155">
        <v>982</v>
      </c>
      <c r="O1155">
        <v>8056989</v>
      </c>
      <c r="P1155">
        <v>152707</v>
      </c>
      <c r="Q1155">
        <v>516197</v>
      </c>
      <c r="R1155">
        <v>8164</v>
      </c>
      <c r="S1155">
        <v>1801</v>
      </c>
      <c r="T1155">
        <v>4012</v>
      </c>
    </row>
    <row r="1156" spans="1:20" x14ac:dyDescent="0.2">
      <c r="A1156" s="22">
        <v>46081</v>
      </c>
      <c r="B1156">
        <v>26461</v>
      </c>
      <c r="C1156">
        <v>9972</v>
      </c>
      <c r="D1156">
        <v>17567</v>
      </c>
      <c r="E1156">
        <v>130</v>
      </c>
      <c r="F1156" s="21">
        <v>1264390</v>
      </c>
      <c r="G1156">
        <v>68305</v>
      </c>
      <c r="H1156">
        <v>983</v>
      </c>
      <c r="I1156">
        <v>5517</v>
      </c>
      <c r="J1156">
        <v>9636230</v>
      </c>
      <c r="K1156">
        <v>1717422</v>
      </c>
      <c r="L1156">
        <v>455300</v>
      </c>
      <c r="M1156">
        <v>21177</v>
      </c>
      <c r="N1156">
        <v>983</v>
      </c>
      <c r="O1156">
        <v>9675803</v>
      </c>
      <c r="P1156">
        <v>151188</v>
      </c>
      <c r="Q1156">
        <v>766565</v>
      </c>
      <c r="R1156">
        <v>9451</v>
      </c>
      <c r="S1156">
        <v>2381</v>
      </c>
      <c r="T1156">
        <v>2970</v>
      </c>
    </row>
    <row r="1157" spans="1:20" x14ac:dyDescent="0.2">
      <c r="A1157" s="22">
        <v>46082</v>
      </c>
      <c r="B1157">
        <v>25889</v>
      </c>
      <c r="C1157">
        <v>10554</v>
      </c>
      <c r="D1157">
        <v>16387</v>
      </c>
      <c r="E1157">
        <v>104</v>
      </c>
      <c r="F1157" s="21">
        <v>958623</v>
      </c>
      <c r="G1157">
        <v>47501</v>
      </c>
      <c r="H1157">
        <v>1198</v>
      </c>
      <c r="I1157">
        <v>4829</v>
      </c>
      <c r="J1157">
        <v>6588610</v>
      </c>
      <c r="K1157">
        <v>1668324</v>
      </c>
      <c r="L1157">
        <v>333790</v>
      </c>
      <c r="M1157">
        <v>13930</v>
      </c>
      <c r="N1157">
        <v>1198</v>
      </c>
      <c r="O1157">
        <v>4306857</v>
      </c>
      <c r="P1157">
        <v>73883</v>
      </c>
      <c r="Q1157">
        <v>247126</v>
      </c>
      <c r="R1157">
        <v>4261</v>
      </c>
      <c r="S1157">
        <v>928</v>
      </c>
      <c r="T1157">
        <v>3505</v>
      </c>
    </row>
    <row r="1158" spans="1:20" x14ac:dyDescent="0.2">
      <c r="A1158" s="22">
        <v>46083</v>
      </c>
      <c r="B1158">
        <v>35284</v>
      </c>
      <c r="C1158">
        <v>14626</v>
      </c>
      <c r="D1158">
        <v>27199</v>
      </c>
      <c r="E1158">
        <v>83</v>
      </c>
      <c r="F1158" s="21">
        <v>1484727</v>
      </c>
      <c r="G1158">
        <v>132349</v>
      </c>
      <c r="H1158">
        <v>1288</v>
      </c>
      <c r="I1158">
        <v>6406</v>
      </c>
      <c r="J1158">
        <v>9329031</v>
      </c>
      <c r="K1158">
        <v>1793875</v>
      </c>
      <c r="L1158">
        <v>465023</v>
      </c>
      <c r="M1158">
        <v>17004</v>
      </c>
      <c r="N1158">
        <v>1288</v>
      </c>
      <c r="O1158">
        <v>6592854</v>
      </c>
      <c r="P1158">
        <v>163555</v>
      </c>
      <c r="Q1158">
        <v>507726</v>
      </c>
      <c r="R1158">
        <v>7002</v>
      </c>
      <c r="S1158">
        <v>1442</v>
      </c>
      <c r="T1158">
        <v>3780</v>
      </c>
    </row>
    <row r="1159" spans="1:20" x14ac:dyDescent="0.2">
      <c r="A1159" s="22">
        <v>46084</v>
      </c>
      <c r="B1159">
        <v>30629</v>
      </c>
      <c r="C1159">
        <v>11762</v>
      </c>
      <c r="D1159">
        <v>24006</v>
      </c>
      <c r="E1159">
        <v>145</v>
      </c>
      <c r="F1159" s="21">
        <v>1474125</v>
      </c>
      <c r="G1159">
        <v>117882</v>
      </c>
      <c r="H1159">
        <v>1036</v>
      </c>
      <c r="I1159">
        <v>6901</v>
      </c>
      <c r="J1159">
        <v>11193620</v>
      </c>
      <c r="K1159">
        <v>1720902</v>
      </c>
      <c r="L1159">
        <v>586219</v>
      </c>
      <c r="M1159">
        <v>19533</v>
      </c>
      <c r="N1159">
        <v>1036</v>
      </c>
      <c r="O1159">
        <v>6540834</v>
      </c>
      <c r="P1159">
        <v>138619</v>
      </c>
      <c r="Q1159">
        <v>417071</v>
      </c>
      <c r="R1159">
        <v>7222</v>
      </c>
      <c r="S1159">
        <v>1525</v>
      </c>
      <c r="T1159">
        <v>3449</v>
      </c>
    </row>
    <row r="1160" spans="1:20" x14ac:dyDescent="0.2">
      <c r="A1160" s="22">
        <v>46085</v>
      </c>
      <c r="B1160">
        <v>39526</v>
      </c>
      <c r="C1160">
        <v>19699</v>
      </c>
      <c r="D1160">
        <v>28787</v>
      </c>
      <c r="E1160">
        <v>147</v>
      </c>
      <c r="F1160" s="21">
        <v>1948067</v>
      </c>
      <c r="G1160">
        <v>184962</v>
      </c>
      <c r="H1160">
        <v>2976</v>
      </c>
      <c r="I1160">
        <v>8358</v>
      </c>
      <c r="J1160">
        <v>9775427</v>
      </c>
      <c r="K1160">
        <v>1474203</v>
      </c>
      <c r="L1160">
        <v>460512</v>
      </c>
      <c r="M1160">
        <v>16900</v>
      </c>
      <c r="N1160">
        <v>2976</v>
      </c>
      <c r="O1160">
        <v>8638777</v>
      </c>
      <c r="P1160">
        <v>187159</v>
      </c>
      <c r="Q1160">
        <v>517710</v>
      </c>
      <c r="R1160">
        <v>14756</v>
      </c>
      <c r="S1160">
        <v>2217</v>
      </c>
      <c r="T1160">
        <v>3643</v>
      </c>
    </row>
    <row r="1161" spans="1:20" x14ac:dyDescent="0.2">
      <c r="A1161" s="22">
        <v>46086</v>
      </c>
      <c r="B1161">
        <v>25223</v>
      </c>
      <c r="C1161">
        <v>9688</v>
      </c>
      <c r="D1161">
        <v>14599</v>
      </c>
      <c r="E1161">
        <v>87</v>
      </c>
      <c r="F1161" s="21">
        <v>1904756</v>
      </c>
      <c r="G1161">
        <v>145889</v>
      </c>
      <c r="H1161">
        <v>2036</v>
      </c>
      <c r="I1161">
        <v>8312</v>
      </c>
      <c r="J1161">
        <v>11798002</v>
      </c>
      <c r="K1161">
        <v>1743152</v>
      </c>
      <c r="L1161">
        <v>578536</v>
      </c>
      <c r="M1161">
        <v>20640</v>
      </c>
      <c r="N1161">
        <v>2036</v>
      </c>
      <c r="O1161">
        <v>11167533</v>
      </c>
      <c r="P1161">
        <v>191018</v>
      </c>
      <c r="Q1161">
        <v>577804</v>
      </c>
      <c r="R1161">
        <v>19242</v>
      </c>
      <c r="S1161">
        <v>2427</v>
      </c>
      <c r="T1161">
        <v>4044</v>
      </c>
    </row>
    <row r="1162" spans="1:20" x14ac:dyDescent="0.2">
      <c r="A1162" s="22">
        <v>46087</v>
      </c>
      <c r="B1162">
        <v>35559</v>
      </c>
      <c r="C1162">
        <v>15536</v>
      </c>
      <c r="D1162">
        <v>23081</v>
      </c>
      <c r="E1162">
        <v>171</v>
      </c>
      <c r="F1162" s="21">
        <v>1652250</v>
      </c>
      <c r="G1162">
        <v>125534</v>
      </c>
      <c r="H1162">
        <v>1456</v>
      </c>
      <c r="I1162">
        <v>7874</v>
      </c>
      <c r="J1162">
        <v>9825725</v>
      </c>
      <c r="K1162">
        <v>1479316</v>
      </c>
      <c r="L1162">
        <v>484615</v>
      </c>
      <c r="M1162">
        <v>16137</v>
      </c>
      <c r="N1162">
        <v>1456</v>
      </c>
      <c r="O1162">
        <v>8881204</v>
      </c>
      <c r="P1162">
        <v>196968</v>
      </c>
      <c r="Q1162">
        <v>568557</v>
      </c>
      <c r="R1162">
        <v>12268</v>
      </c>
      <c r="S1162">
        <v>2110</v>
      </c>
      <c r="T1162">
        <v>2912</v>
      </c>
    </row>
    <row r="1163" spans="1:20" x14ac:dyDescent="0.2">
      <c r="A1163" s="22">
        <v>46088</v>
      </c>
      <c r="B1163">
        <v>30124</v>
      </c>
      <c r="C1163">
        <v>13565</v>
      </c>
      <c r="D1163">
        <v>16236</v>
      </c>
      <c r="E1163">
        <v>116</v>
      </c>
      <c r="F1163" s="21">
        <v>1647698</v>
      </c>
      <c r="G1163">
        <v>111788</v>
      </c>
      <c r="H1163">
        <v>1501</v>
      </c>
      <c r="I1163">
        <v>6996</v>
      </c>
      <c r="J1163">
        <v>8015472</v>
      </c>
      <c r="K1163">
        <v>1394953</v>
      </c>
      <c r="L1163">
        <v>395867</v>
      </c>
      <c r="M1163">
        <v>14790</v>
      </c>
      <c r="N1163">
        <v>1501</v>
      </c>
      <c r="O1163">
        <v>6816817</v>
      </c>
      <c r="P1163">
        <v>149029</v>
      </c>
      <c r="Q1163">
        <v>438479</v>
      </c>
      <c r="R1163">
        <v>11145</v>
      </c>
      <c r="S1163">
        <v>2220</v>
      </c>
      <c r="T1163">
        <v>3385</v>
      </c>
    </row>
    <row r="1164" spans="1:20" x14ac:dyDescent="0.2">
      <c r="A1164" s="22">
        <v>46089</v>
      </c>
      <c r="B1164">
        <v>36897</v>
      </c>
      <c r="C1164">
        <v>16660</v>
      </c>
      <c r="D1164">
        <v>20391</v>
      </c>
      <c r="E1164">
        <v>144</v>
      </c>
      <c r="F1164" s="21">
        <v>685771</v>
      </c>
      <c r="G1164">
        <v>49210</v>
      </c>
      <c r="H1164">
        <v>576</v>
      </c>
      <c r="I1164">
        <v>2800</v>
      </c>
      <c r="J1164">
        <v>8886780</v>
      </c>
      <c r="K1164">
        <v>1457214</v>
      </c>
      <c r="L1164">
        <v>526410</v>
      </c>
      <c r="M1164">
        <v>15703</v>
      </c>
      <c r="N1164">
        <v>576</v>
      </c>
      <c r="O1164">
        <v>5810326</v>
      </c>
      <c r="P1164">
        <v>121279</v>
      </c>
      <c r="Q1164">
        <v>404627</v>
      </c>
      <c r="R1164">
        <v>9285</v>
      </c>
      <c r="S1164">
        <v>1456</v>
      </c>
      <c r="T1164">
        <v>4293</v>
      </c>
    </row>
    <row r="1165" spans="1:20" x14ac:dyDescent="0.2">
      <c r="A1165" s="22">
        <v>46090</v>
      </c>
      <c r="B1165">
        <v>37137</v>
      </c>
      <c r="C1165">
        <v>19621</v>
      </c>
      <c r="D1165">
        <v>20221</v>
      </c>
      <c r="E1165">
        <v>157</v>
      </c>
      <c r="F1165" s="21">
        <v>1477925</v>
      </c>
      <c r="G1165">
        <v>110329</v>
      </c>
      <c r="H1165">
        <v>1126</v>
      </c>
      <c r="I1165">
        <v>6659</v>
      </c>
      <c r="J1165">
        <v>11129032</v>
      </c>
      <c r="K1165">
        <v>1504169</v>
      </c>
      <c r="L1165">
        <v>564494</v>
      </c>
      <c r="M1165">
        <v>18059</v>
      </c>
      <c r="N1165">
        <v>1126</v>
      </c>
      <c r="O1165">
        <v>15582437</v>
      </c>
      <c r="P1165">
        <v>156222</v>
      </c>
      <c r="Q1165">
        <v>947994</v>
      </c>
      <c r="R1165">
        <v>10808</v>
      </c>
      <c r="S1165">
        <v>3195</v>
      </c>
      <c r="T1165">
        <v>3965</v>
      </c>
    </row>
    <row r="1166" spans="1:20" x14ac:dyDescent="0.2">
      <c r="A1166" s="22">
        <v>46091</v>
      </c>
      <c r="B1166">
        <v>37267</v>
      </c>
      <c r="C1166">
        <v>18552</v>
      </c>
      <c r="D1166">
        <v>19456</v>
      </c>
      <c r="E1166">
        <v>155</v>
      </c>
      <c r="F1166" s="21">
        <v>1702386</v>
      </c>
      <c r="G1166">
        <v>139638</v>
      </c>
      <c r="H1166">
        <v>1552</v>
      </c>
      <c r="I1166">
        <v>7148</v>
      </c>
      <c r="J1166">
        <v>13154086</v>
      </c>
      <c r="K1166">
        <v>1844030</v>
      </c>
      <c r="L1166">
        <v>688243</v>
      </c>
      <c r="M1166">
        <v>27002</v>
      </c>
      <c r="N1166">
        <v>1552</v>
      </c>
      <c r="O1166">
        <v>10516686</v>
      </c>
      <c r="P1166">
        <v>152064</v>
      </c>
      <c r="Q1166">
        <v>605220</v>
      </c>
      <c r="R1166">
        <v>13519</v>
      </c>
      <c r="S1166">
        <v>2826</v>
      </c>
      <c r="T1166">
        <v>4507</v>
      </c>
    </row>
    <row r="1167" spans="1:20" x14ac:dyDescent="0.2">
      <c r="A1167" s="22">
        <v>46092</v>
      </c>
      <c r="B1167">
        <v>35259</v>
      </c>
      <c r="C1167">
        <v>14928</v>
      </c>
      <c r="D1167">
        <v>24860</v>
      </c>
      <c r="E1167">
        <v>121</v>
      </c>
      <c r="F1167" s="21">
        <v>1587795</v>
      </c>
      <c r="G1167">
        <v>126133</v>
      </c>
      <c r="H1167">
        <v>1185</v>
      </c>
      <c r="I1167">
        <v>6634</v>
      </c>
      <c r="J1167">
        <v>14436388</v>
      </c>
      <c r="K1167">
        <v>2527891</v>
      </c>
      <c r="L1167">
        <v>723512</v>
      </c>
      <c r="M1167">
        <v>21499</v>
      </c>
      <c r="N1167">
        <v>1185</v>
      </c>
      <c r="O1167">
        <v>11976754</v>
      </c>
      <c r="P1167">
        <v>225280</v>
      </c>
      <c r="Q1167">
        <v>753387</v>
      </c>
      <c r="R1167">
        <v>18620</v>
      </c>
      <c r="S1167">
        <v>3914</v>
      </c>
      <c r="T1167">
        <v>5296</v>
      </c>
    </row>
    <row r="1168" spans="1:20" x14ac:dyDescent="0.2">
      <c r="A1168" s="22">
        <v>46093</v>
      </c>
      <c r="B1168">
        <v>31246</v>
      </c>
      <c r="C1168">
        <v>10949</v>
      </c>
      <c r="D1168">
        <v>17640</v>
      </c>
      <c r="E1168">
        <v>105</v>
      </c>
      <c r="F1168" s="21">
        <v>1352935</v>
      </c>
      <c r="G1168">
        <v>106401</v>
      </c>
      <c r="H1168">
        <v>1108</v>
      </c>
      <c r="I1168">
        <v>5440</v>
      </c>
      <c r="J1168">
        <v>12767965</v>
      </c>
      <c r="K1168">
        <v>2110656</v>
      </c>
      <c r="L1168">
        <v>723382</v>
      </c>
      <c r="M1168">
        <v>19852</v>
      </c>
      <c r="N1168">
        <v>1108</v>
      </c>
      <c r="O1168">
        <v>8029733</v>
      </c>
      <c r="P1168">
        <v>128732</v>
      </c>
      <c r="Q1168">
        <v>467190</v>
      </c>
      <c r="R1168">
        <v>8645</v>
      </c>
      <c r="S1168">
        <v>1733</v>
      </c>
      <c r="T1168">
        <v>4580</v>
      </c>
    </row>
    <row r="1169" spans="1:20" x14ac:dyDescent="0.2">
      <c r="A1169" s="22">
        <v>46094</v>
      </c>
      <c r="B1169">
        <v>32120</v>
      </c>
      <c r="C1169">
        <v>12303</v>
      </c>
      <c r="D1169">
        <v>19937</v>
      </c>
      <c r="E1169">
        <v>60</v>
      </c>
      <c r="F1169" s="21">
        <v>1335738</v>
      </c>
      <c r="G1169">
        <v>95024</v>
      </c>
      <c r="H1169">
        <v>951</v>
      </c>
      <c r="I1169">
        <v>5201</v>
      </c>
      <c r="J1169">
        <v>13962227</v>
      </c>
      <c r="K1169">
        <v>2051245</v>
      </c>
      <c r="L1169">
        <v>712444</v>
      </c>
      <c r="M1169">
        <v>28812</v>
      </c>
      <c r="N1169">
        <v>951</v>
      </c>
      <c r="O1169">
        <v>8761067</v>
      </c>
      <c r="P1169">
        <v>127335</v>
      </c>
      <c r="Q1169">
        <v>491110</v>
      </c>
      <c r="R1169">
        <v>7298</v>
      </c>
      <c r="S1169">
        <v>1804</v>
      </c>
      <c r="T1169">
        <v>4348</v>
      </c>
    </row>
    <row r="1170" spans="1:20" x14ac:dyDescent="0.2">
      <c r="A1170" s="22">
        <v>46095</v>
      </c>
      <c r="B1170">
        <v>28673</v>
      </c>
      <c r="C1170">
        <v>10932</v>
      </c>
      <c r="D1170">
        <v>15267</v>
      </c>
      <c r="E1170">
        <v>173</v>
      </c>
      <c r="F1170" s="21">
        <v>1232964</v>
      </c>
      <c r="G1170">
        <v>88313</v>
      </c>
      <c r="H1170">
        <v>832</v>
      </c>
      <c r="I1170">
        <v>5440</v>
      </c>
      <c r="J1170">
        <v>16188195</v>
      </c>
      <c r="K1170">
        <v>2730442</v>
      </c>
      <c r="L1170">
        <v>937852</v>
      </c>
      <c r="M1170">
        <v>35953</v>
      </c>
      <c r="N1170">
        <v>832</v>
      </c>
      <c r="O1170">
        <v>6659897</v>
      </c>
      <c r="P1170">
        <v>106159</v>
      </c>
      <c r="Q1170">
        <v>423643</v>
      </c>
      <c r="R1170">
        <v>6030</v>
      </c>
      <c r="S1170">
        <v>1369</v>
      </c>
      <c r="T1170">
        <v>4981</v>
      </c>
    </row>
    <row r="1171" spans="1:20" x14ac:dyDescent="0.2">
      <c r="A1171" s="22">
        <v>46096</v>
      </c>
      <c r="B1171">
        <v>37440</v>
      </c>
      <c r="C1171">
        <v>15042</v>
      </c>
      <c r="D1171">
        <v>29279</v>
      </c>
      <c r="E1171">
        <v>146</v>
      </c>
      <c r="F1171" s="21">
        <v>1176709</v>
      </c>
      <c r="G1171">
        <v>56900</v>
      </c>
      <c r="H1171">
        <v>794</v>
      </c>
      <c r="I1171">
        <v>5494</v>
      </c>
      <c r="J1171">
        <v>9048437</v>
      </c>
      <c r="K1171">
        <v>2327879</v>
      </c>
      <c r="L1171">
        <v>485445</v>
      </c>
      <c r="M1171">
        <v>17199</v>
      </c>
      <c r="N1171">
        <v>794</v>
      </c>
      <c r="O1171">
        <v>5458142</v>
      </c>
      <c r="P1171">
        <v>125480</v>
      </c>
      <c r="Q1171">
        <v>332339</v>
      </c>
      <c r="R1171">
        <v>4869</v>
      </c>
      <c r="S1171">
        <v>1039</v>
      </c>
      <c r="T1171">
        <v>4314</v>
      </c>
    </row>
    <row r="1172" spans="1:20" x14ac:dyDescent="0.2">
      <c r="A1172" s="22">
        <v>46097</v>
      </c>
      <c r="B1172">
        <v>32403</v>
      </c>
      <c r="C1172">
        <v>16413</v>
      </c>
      <c r="D1172">
        <v>20695</v>
      </c>
      <c r="E1172">
        <v>97</v>
      </c>
      <c r="F1172" s="21">
        <v>2560770</v>
      </c>
      <c r="G1172">
        <v>197940</v>
      </c>
      <c r="H1172">
        <v>1632</v>
      </c>
      <c r="I1172">
        <v>9785</v>
      </c>
      <c r="J1172">
        <v>10945657</v>
      </c>
      <c r="K1172">
        <v>2035809</v>
      </c>
      <c r="L1172">
        <v>567593</v>
      </c>
      <c r="M1172">
        <v>18577</v>
      </c>
      <c r="N1172">
        <v>1632</v>
      </c>
      <c r="O1172">
        <v>6768687</v>
      </c>
      <c r="P1172">
        <v>129979</v>
      </c>
      <c r="Q1172">
        <v>362611</v>
      </c>
      <c r="R1172">
        <v>7157</v>
      </c>
      <c r="S1172">
        <v>1482</v>
      </c>
      <c r="T1172">
        <v>4311</v>
      </c>
    </row>
    <row r="1173" spans="1:20" x14ac:dyDescent="0.2">
      <c r="A1173" s="22">
        <v>46098</v>
      </c>
      <c r="B1173">
        <v>34983</v>
      </c>
      <c r="C1173">
        <v>13628</v>
      </c>
      <c r="D1173">
        <v>19593</v>
      </c>
      <c r="E1173">
        <v>173</v>
      </c>
      <c r="F1173" s="21">
        <v>3284617</v>
      </c>
      <c r="G1173">
        <v>237957</v>
      </c>
      <c r="H1173">
        <v>2395</v>
      </c>
      <c r="I1173">
        <v>13273</v>
      </c>
      <c r="J1173">
        <v>14025892</v>
      </c>
      <c r="K1173">
        <v>2353755</v>
      </c>
      <c r="L1173">
        <v>806572</v>
      </c>
      <c r="M1173">
        <v>22006</v>
      </c>
      <c r="N1173">
        <v>2395</v>
      </c>
      <c r="O1173">
        <v>10467515</v>
      </c>
      <c r="P1173">
        <v>186342</v>
      </c>
      <c r="Q1173">
        <v>676734</v>
      </c>
      <c r="R1173">
        <v>15423</v>
      </c>
      <c r="S1173">
        <v>3564</v>
      </c>
      <c r="T1173">
        <v>5066</v>
      </c>
    </row>
    <row r="1174" spans="1:20" x14ac:dyDescent="0.2">
      <c r="A1174" s="22">
        <v>46099</v>
      </c>
      <c r="B1174">
        <v>32768</v>
      </c>
      <c r="C1174">
        <v>17203</v>
      </c>
      <c r="D1174">
        <v>22235</v>
      </c>
      <c r="E1174">
        <v>176</v>
      </c>
      <c r="F1174" s="21">
        <v>2646546</v>
      </c>
      <c r="G1174">
        <v>185645</v>
      </c>
      <c r="H1174">
        <v>2101</v>
      </c>
      <c r="I1174">
        <v>11449</v>
      </c>
      <c r="J1174">
        <v>11010512</v>
      </c>
      <c r="K1174">
        <v>2360213</v>
      </c>
      <c r="L1174">
        <v>589345</v>
      </c>
      <c r="M1174">
        <v>20021</v>
      </c>
      <c r="N1174">
        <v>2101</v>
      </c>
      <c r="O1174">
        <v>7571048</v>
      </c>
      <c r="P1174">
        <v>145236</v>
      </c>
      <c r="Q1174">
        <v>439483</v>
      </c>
      <c r="R1174">
        <v>8890</v>
      </c>
      <c r="S1174">
        <v>2083</v>
      </c>
      <c r="T1174">
        <v>5217</v>
      </c>
    </row>
    <row r="1175" spans="1:20" x14ac:dyDescent="0.2">
      <c r="A1175" s="22">
        <v>46100</v>
      </c>
      <c r="B1175">
        <v>27451</v>
      </c>
      <c r="C1175">
        <v>14892</v>
      </c>
      <c r="D1175">
        <v>15652</v>
      </c>
      <c r="E1175">
        <v>154</v>
      </c>
      <c r="F1175" s="21">
        <v>1829306</v>
      </c>
      <c r="G1175">
        <v>106432</v>
      </c>
      <c r="H1175">
        <v>1341</v>
      </c>
      <c r="I1175">
        <v>8051</v>
      </c>
      <c r="J1175">
        <v>10206123</v>
      </c>
      <c r="K1175">
        <v>2110005</v>
      </c>
      <c r="L1175">
        <v>517333</v>
      </c>
      <c r="M1175">
        <v>17982</v>
      </c>
      <c r="N1175">
        <v>1341</v>
      </c>
      <c r="O1175">
        <v>7087261</v>
      </c>
      <c r="P1175">
        <v>140585</v>
      </c>
      <c r="Q1175">
        <v>473633</v>
      </c>
      <c r="R1175">
        <v>7954</v>
      </c>
      <c r="S1175">
        <v>2185</v>
      </c>
      <c r="T1175">
        <v>4240</v>
      </c>
    </row>
    <row r="1176" spans="1:20" x14ac:dyDescent="0.2">
      <c r="A1176" s="22">
        <v>46101</v>
      </c>
      <c r="B1176">
        <v>31907</v>
      </c>
      <c r="C1176">
        <v>14647</v>
      </c>
      <c r="D1176">
        <v>17987</v>
      </c>
      <c r="E1176">
        <v>98</v>
      </c>
      <c r="F1176" s="21">
        <v>2072021</v>
      </c>
      <c r="G1176">
        <v>107603</v>
      </c>
      <c r="H1176">
        <v>1229</v>
      </c>
      <c r="I1176">
        <v>9493</v>
      </c>
      <c r="J1176">
        <v>11940288</v>
      </c>
      <c r="K1176">
        <v>2167809</v>
      </c>
      <c r="L1176">
        <v>622694</v>
      </c>
      <c r="M1176">
        <v>22921</v>
      </c>
      <c r="N1176">
        <v>1229</v>
      </c>
      <c r="O1176">
        <v>7423824</v>
      </c>
      <c r="P1176">
        <v>125606</v>
      </c>
      <c r="Q1176">
        <v>629974</v>
      </c>
      <c r="R1176">
        <v>9738</v>
      </c>
      <c r="S1176">
        <v>2349</v>
      </c>
      <c r="T1176">
        <v>3266</v>
      </c>
    </row>
    <row r="1177" spans="1:20" x14ac:dyDescent="0.2">
      <c r="A1177" s="22">
        <v>46102</v>
      </c>
      <c r="B1177">
        <v>36181</v>
      </c>
      <c r="C1177">
        <v>15417</v>
      </c>
      <c r="D1177">
        <v>22894</v>
      </c>
      <c r="E1177">
        <v>73</v>
      </c>
      <c r="F1177" s="21">
        <v>2675474</v>
      </c>
      <c r="G1177">
        <v>151298</v>
      </c>
      <c r="H1177">
        <v>1730</v>
      </c>
      <c r="I1177">
        <v>12762</v>
      </c>
      <c r="J1177">
        <v>12287637</v>
      </c>
      <c r="K1177">
        <v>2336338</v>
      </c>
      <c r="L1177">
        <v>613974</v>
      </c>
      <c r="M1177">
        <v>20039</v>
      </c>
      <c r="N1177">
        <v>1730</v>
      </c>
      <c r="O1177">
        <v>9157267</v>
      </c>
      <c r="P1177">
        <v>164131</v>
      </c>
      <c r="Q1177">
        <v>604031</v>
      </c>
      <c r="R1177">
        <v>9648</v>
      </c>
      <c r="S1177">
        <v>1851</v>
      </c>
      <c r="T1177">
        <v>3143</v>
      </c>
    </row>
    <row r="1178" spans="1:20" x14ac:dyDescent="0.2">
      <c r="A1178" s="22">
        <v>46103</v>
      </c>
      <c r="B1178">
        <v>37351</v>
      </c>
      <c r="C1178">
        <v>17904</v>
      </c>
      <c r="D1178">
        <v>19975</v>
      </c>
      <c r="E1178">
        <v>84</v>
      </c>
      <c r="F1178" s="21">
        <v>2452608</v>
      </c>
      <c r="G1178">
        <v>91591</v>
      </c>
      <c r="H1178">
        <v>1266</v>
      </c>
      <c r="I1178">
        <v>11226</v>
      </c>
      <c r="J1178">
        <v>9171418</v>
      </c>
      <c r="K1178">
        <v>1871825</v>
      </c>
      <c r="L1178">
        <v>474364</v>
      </c>
      <c r="M1178">
        <v>15031</v>
      </c>
      <c r="N1178">
        <v>1266</v>
      </c>
      <c r="O1178">
        <v>8079064</v>
      </c>
      <c r="P1178">
        <v>109803</v>
      </c>
      <c r="Q1178">
        <v>351369</v>
      </c>
      <c r="R1178">
        <v>6298</v>
      </c>
      <c r="S1178">
        <v>1371</v>
      </c>
      <c r="T1178">
        <v>5209</v>
      </c>
    </row>
    <row r="1179" spans="1:20" x14ac:dyDescent="0.2">
      <c r="A1179" s="22">
        <v>46104</v>
      </c>
      <c r="B1179">
        <v>30220</v>
      </c>
      <c r="C1179">
        <v>16580</v>
      </c>
      <c r="D1179">
        <v>17773</v>
      </c>
      <c r="E1179">
        <v>164</v>
      </c>
      <c r="F1179" s="21">
        <v>2580673</v>
      </c>
      <c r="G1179">
        <v>145456</v>
      </c>
      <c r="H1179">
        <v>1632</v>
      </c>
      <c r="I1179">
        <v>12600</v>
      </c>
      <c r="J1179">
        <v>13266199</v>
      </c>
      <c r="K1179">
        <v>1897962</v>
      </c>
      <c r="L1179">
        <v>591169</v>
      </c>
      <c r="M1179">
        <v>22418</v>
      </c>
      <c r="N1179">
        <v>1632</v>
      </c>
      <c r="O1179">
        <v>7112087</v>
      </c>
      <c r="P1179">
        <v>117714</v>
      </c>
      <c r="Q1179">
        <v>466669</v>
      </c>
      <c r="R1179">
        <v>6946</v>
      </c>
      <c r="S1179">
        <v>1516</v>
      </c>
      <c r="T1179">
        <v>4412</v>
      </c>
    </row>
    <row r="1180" spans="1:20" x14ac:dyDescent="0.2">
      <c r="A1180" s="22">
        <v>46105</v>
      </c>
      <c r="B1180">
        <v>33283</v>
      </c>
      <c r="C1180">
        <v>14052</v>
      </c>
      <c r="D1180">
        <v>25247</v>
      </c>
      <c r="E1180">
        <v>74</v>
      </c>
      <c r="F1180" s="21">
        <v>3094613</v>
      </c>
      <c r="G1180">
        <v>167656</v>
      </c>
      <c r="H1180">
        <v>2376</v>
      </c>
      <c r="I1180">
        <v>14598</v>
      </c>
      <c r="J1180">
        <v>7035265</v>
      </c>
      <c r="K1180">
        <v>1366971</v>
      </c>
      <c r="L1180">
        <v>337172</v>
      </c>
      <c r="M1180">
        <v>13958</v>
      </c>
      <c r="N1180">
        <v>2376</v>
      </c>
      <c r="O1180">
        <v>9027264</v>
      </c>
      <c r="P1180">
        <v>129390</v>
      </c>
      <c r="Q1180">
        <v>549357</v>
      </c>
      <c r="R1180">
        <v>9904</v>
      </c>
      <c r="S1180">
        <v>1977</v>
      </c>
      <c r="T1180">
        <v>3472</v>
      </c>
    </row>
    <row r="1181" spans="1:20" x14ac:dyDescent="0.2">
      <c r="A1181" s="22">
        <v>46106</v>
      </c>
      <c r="B1181">
        <v>29249</v>
      </c>
      <c r="C1181">
        <v>15118</v>
      </c>
      <c r="D1181">
        <v>18496</v>
      </c>
      <c r="E1181">
        <v>93</v>
      </c>
      <c r="F1181" s="21">
        <v>3814161</v>
      </c>
      <c r="G1181">
        <v>260916</v>
      </c>
      <c r="H1181">
        <v>3601</v>
      </c>
      <c r="I1181">
        <v>16067</v>
      </c>
      <c r="J1181">
        <v>7675004</v>
      </c>
      <c r="K1181">
        <v>1423679</v>
      </c>
      <c r="L1181">
        <v>413648</v>
      </c>
      <c r="M1181">
        <v>16631</v>
      </c>
      <c r="N1181">
        <v>3601</v>
      </c>
      <c r="O1181">
        <v>8609712</v>
      </c>
      <c r="P1181">
        <v>146003</v>
      </c>
      <c r="Q1181">
        <v>506546</v>
      </c>
      <c r="R1181">
        <v>9395</v>
      </c>
      <c r="S1181">
        <v>1808</v>
      </c>
      <c r="T1181">
        <v>2965</v>
      </c>
    </row>
    <row r="1182" spans="1:20" x14ac:dyDescent="0.2">
      <c r="A1182" s="22">
        <v>46107</v>
      </c>
      <c r="B1182">
        <v>33998</v>
      </c>
      <c r="C1182">
        <v>17033</v>
      </c>
      <c r="D1182">
        <v>19041</v>
      </c>
      <c r="E1182">
        <v>87</v>
      </c>
      <c r="F1182" s="21">
        <v>3271521</v>
      </c>
      <c r="G1182">
        <v>200134</v>
      </c>
      <c r="H1182">
        <v>2715</v>
      </c>
      <c r="I1182">
        <v>13702</v>
      </c>
      <c r="J1182">
        <v>9016621</v>
      </c>
      <c r="K1182">
        <v>1575915</v>
      </c>
      <c r="L1182">
        <v>460867</v>
      </c>
      <c r="M1182">
        <v>16280</v>
      </c>
      <c r="N1182">
        <v>2715</v>
      </c>
      <c r="O1182">
        <v>9616954</v>
      </c>
      <c r="P1182">
        <v>148516</v>
      </c>
      <c r="Q1182">
        <v>544698</v>
      </c>
      <c r="R1182">
        <v>10870</v>
      </c>
      <c r="S1182">
        <v>2228</v>
      </c>
      <c r="T1182">
        <v>3460</v>
      </c>
    </row>
    <row r="1183" spans="1:20" x14ac:dyDescent="0.2">
      <c r="A1183" s="22">
        <v>46108</v>
      </c>
      <c r="B1183">
        <v>33178</v>
      </c>
      <c r="C1183">
        <v>13661</v>
      </c>
      <c r="D1183">
        <v>20302</v>
      </c>
      <c r="E1183">
        <v>102</v>
      </c>
      <c r="F1183" s="21">
        <v>3167981</v>
      </c>
      <c r="G1183">
        <v>190467</v>
      </c>
      <c r="H1183">
        <v>1993</v>
      </c>
      <c r="I1183">
        <v>12617</v>
      </c>
      <c r="J1183">
        <v>9182147</v>
      </c>
      <c r="K1183">
        <v>1396707</v>
      </c>
      <c r="L1183">
        <v>519412</v>
      </c>
      <c r="M1183">
        <v>17975</v>
      </c>
      <c r="N1183">
        <v>1993</v>
      </c>
      <c r="O1183">
        <v>6539036</v>
      </c>
      <c r="P1183">
        <v>122697</v>
      </c>
      <c r="Q1183">
        <v>349891</v>
      </c>
      <c r="R1183">
        <v>9468</v>
      </c>
      <c r="S1183">
        <v>1752</v>
      </c>
      <c r="T1183">
        <v>1855</v>
      </c>
    </row>
    <row r="1184" spans="1:20" x14ac:dyDescent="0.2">
      <c r="A1184" s="22">
        <v>46109</v>
      </c>
      <c r="B1184">
        <v>34625</v>
      </c>
      <c r="C1184">
        <v>13422</v>
      </c>
      <c r="D1184">
        <v>26761</v>
      </c>
      <c r="E1184">
        <v>64</v>
      </c>
      <c r="F1184" s="21">
        <v>3635051</v>
      </c>
      <c r="G1184">
        <v>186160</v>
      </c>
      <c r="H1184">
        <v>2341</v>
      </c>
      <c r="I1184">
        <v>16098</v>
      </c>
      <c r="J1184">
        <v>5483277</v>
      </c>
      <c r="K1184">
        <v>1012558</v>
      </c>
      <c r="L1184">
        <v>230507</v>
      </c>
      <c r="M1184">
        <v>11521</v>
      </c>
      <c r="N1184">
        <v>2341</v>
      </c>
      <c r="O1184">
        <v>5220946</v>
      </c>
      <c r="P1184">
        <v>85182</v>
      </c>
      <c r="Q1184">
        <v>340380</v>
      </c>
      <c r="R1184">
        <v>8741</v>
      </c>
      <c r="S1184">
        <v>1831</v>
      </c>
      <c r="T1184">
        <v>2154</v>
      </c>
    </row>
    <row r="1185" spans="1:20" x14ac:dyDescent="0.2">
      <c r="A1185" s="22">
        <v>46110</v>
      </c>
      <c r="B1185">
        <v>25791</v>
      </c>
      <c r="C1185">
        <v>9409</v>
      </c>
      <c r="D1185">
        <v>13637</v>
      </c>
      <c r="E1185">
        <v>129</v>
      </c>
      <c r="F1185" s="21">
        <v>1917665</v>
      </c>
      <c r="G1185">
        <v>91719</v>
      </c>
      <c r="H1185">
        <v>1245</v>
      </c>
      <c r="I1185">
        <v>7510</v>
      </c>
      <c r="J1185">
        <v>5453899</v>
      </c>
      <c r="K1185">
        <v>1051472</v>
      </c>
      <c r="L1185">
        <v>237038</v>
      </c>
      <c r="M1185">
        <v>12653</v>
      </c>
      <c r="N1185">
        <v>1245</v>
      </c>
      <c r="O1185">
        <v>4858640</v>
      </c>
      <c r="P1185">
        <v>80749</v>
      </c>
      <c r="Q1185">
        <v>244241</v>
      </c>
      <c r="R1185">
        <v>8491</v>
      </c>
      <c r="S1185">
        <v>1820</v>
      </c>
      <c r="T1185">
        <v>2364</v>
      </c>
    </row>
    <row r="1186" spans="1:20" x14ac:dyDescent="0.2">
      <c r="A1186" s="22">
        <v>46111</v>
      </c>
      <c r="B1186">
        <v>29553</v>
      </c>
      <c r="C1186">
        <v>15322</v>
      </c>
      <c r="D1186">
        <v>17983</v>
      </c>
      <c r="E1186">
        <v>105</v>
      </c>
      <c r="F1186" s="21">
        <v>3671184</v>
      </c>
      <c r="G1186">
        <v>256974</v>
      </c>
      <c r="H1186">
        <v>2921</v>
      </c>
      <c r="I1186">
        <v>15108</v>
      </c>
      <c r="J1186">
        <v>11749469</v>
      </c>
      <c r="K1186">
        <v>1507265</v>
      </c>
      <c r="L1186">
        <v>520317</v>
      </c>
      <c r="M1186">
        <v>26086</v>
      </c>
      <c r="N1186">
        <v>2921</v>
      </c>
      <c r="O1186">
        <v>5928118</v>
      </c>
      <c r="P1186">
        <v>151289</v>
      </c>
      <c r="Q1186">
        <v>525156</v>
      </c>
      <c r="R1186">
        <v>7279</v>
      </c>
      <c r="S1186">
        <v>1709</v>
      </c>
      <c r="T1186">
        <v>2070</v>
      </c>
    </row>
    <row r="1187" spans="1:20" x14ac:dyDescent="0.2">
      <c r="A1187" s="22">
        <v>46112</v>
      </c>
      <c r="B1187">
        <v>28513</v>
      </c>
      <c r="C1187">
        <v>15600</v>
      </c>
      <c r="D1187">
        <v>18014</v>
      </c>
      <c r="E1187">
        <v>108</v>
      </c>
      <c r="F1187" s="21">
        <v>3697983</v>
      </c>
      <c r="G1187">
        <v>237142</v>
      </c>
      <c r="H1187">
        <v>2405</v>
      </c>
      <c r="I1187">
        <v>16685</v>
      </c>
      <c r="J1187">
        <v>8203590</v>
      </c>
      <c r="K1187">
        <v>1220355</v>
      </c>
      <c r="L1187">
        <v>391169</v>
      </c>
      <c r="M1187">
        <v>14654</v>
      </c>
      <c r="N1187">
        <v>2405</v>
      </c>
      <c r="O1187">
        <v>6846989</v>
      </c>
      <c r="P1187">
        <v>144606</v>
      </c>
      <c r="Q1187">
        <v>409073</v>
      </c>
      <c r="R1187">
        <v>8117</v>
      </c>
      <c r="S1187">
        <v>1765</v>
      </c>
      <c r="T1187">
        <v>2568</v>
      </c>
    </row>
    <row r="1188" spans="1:20" x14ac:dyDescent="0.2">
      <c r="A1188" s="22">
        <v>46113</v>
      </c>
      <c r="B1188">
        <v>27997</v>
      </c>
      <c r="C1188">
        <v>10585</v>
      </c>
      <c r="D1188">
        <v>17387</v>
      </c>
      <c r="E1188">
        <v>60</v>
      </c>
      <c r="F1188" s="21">
        <v>3722649</v>
      </c>
      <c r="G1188">
        <v>308948</v>
      </c>
      <c r="H1188">
        <v>2656</v>
      </c>
      <c r="I1188">
        <v>14747</v>
      </c>
      <c r="J1188">
        <v>7598380</v>
      </c>
      <c r="K1188">
        <v>1303807</v>
      </c>
      <c r="L1188">
        <v>345676</v>
      </c>
      <c r="M1188">
        <v>13725</v>
      </c>
      <c r="N1188">
        <v>2656</v>
      </c>
      <c r="O1188">
        <v>8602209</v>
      </c>
      <c r="P1188">
        <v>161418</v>
      </c>
      <c r="Q1188">
        <v>472089</v>
      </c>
      <c r="R1188">
        <v>10395</v>
      </c>
      <c r="S1188">
        <v>2716</v>
      </c>
      <c r="T1188">
        <v>2587</v>
      </c>
    </row>
    <row r="1189" spans="1:20" x14ac:dyDescent="0.2">
      <c r="A1189" s="22">
        <v>46114</v>
      </c>
      <c r="B1189">
        <v>30997</v>
      </c>
      <c r="C1189">
        <v>16768</v>
      </c>
      <c r="D1189">
        <v>22469</v>
      </c>
      <c r="E1189">
        <v>82</v>
      </c>
      <c r="F1189" s="21">
        <v>2711698</v>
      </c>
      <c r="G1189">
        <v>190684</v>
      </c>
      <c r="H1189">
        <v>1588</v>
      </c>
      <c r="I1189">
        <v>11944</v>
      </c>
      <c r="J1189">
        <v>6876569</v>
      </c>
      <c r="K1189">
        <v>1241560</v>
      </c>
      <c r="L1189">
        <v>301895</v>
      </c>
      <c r="M1189">
        <v>13510</v>
      </c>
      <c r="N1189">
        <v>1588</v>
      </c>
      <c r="O1189">
        <v>10058957</v>
      </c>
      <c r="P1189">
        <v>177928</v>
      </c>
      <c r="Q1189">
        <v>845338</v>
      </c>
      <c r="R1189">
        <v>10672</v>
      </c>
      <c r="S1189">
        <v>3293</v>
      </c>
      <c r="T1189">
        <v>2606</v>
      </c>
    </row>
    <row r="1190" spans="1:20" x14ac:dyDescent="0.2">
      <c r="A1190" s="22">
        <v>46115</v>
      </c>
      <c r="B1190">
        <v>35630</v>
      </c>
      <c r="C1190">
        <v>15639</v>
      </c>
      <c r="D1190">
        <v>23117</v>
      </c>
      <c r="E1190">
        <v>133</v>
      </c>
      <c r="F1190" s="21">
        <v>3176042</v>
      </c>
      <c r="G1190">
        <v>248856</v>
      </c>
      <c r="H1190">
        <v>2096</v>
      </c>
      <c r="I1190">
        <v>13798</v>
      </c>
      <c r="J1190">
        <v>6348450</v>
      </c>
      <c r="K1190">
        <v>1059122</v>
      </c>
      <c r="L1190">
        <v>257525</v>
      </c>
      <c r="M1190">
        <v>11445</v>
      </c>
      <c r="N1190">
        <v>2096</v>
      </c>
      <c r="O1190">
        <v>6376721</v>
      </c>
      <c r="P1190">
        <v>111119</v>
      </c>
      <c r="Q1190">
        <v>441175</v>
      </c>
      <c r="R1190">
        <v>7000</v>
      </c>
      <c r="S1190">
        <v>1529</v>
      </c>
      <c r="T1190">
        <v>2560</v>
      </c>
    </row>
    <row r="1191" spans="1:20" x14ac:dyDescent="0.2">
      <c r="A1191" s="22">
        <v>46116</v>
      </c>
      <c r="B1191">
        <v>35166</v>
      </c>
      <c r="C1191">
        <v>15779</v>
      </c>
      <c r="D1191">
        <v>23110</v>
      </c>
      <c r="E1191">
        <v>157</v>
      </c>
      <c r="F1191" s="21">
        <v>1494370</v>
      </c>
      <c r="G1191">
        <v>108840</v>
      </c>
      <c r="H1191">
        <v>901</v>
      </c>
      <c r="I1191">
        <v>5817</v>
      </c>
      <c r="J1191">
        <v>7429083</v>
      </c>
      <c r="K1191">
        <v>1039659</v>
      </c>
      <c r="L1191">
        <v>306500</v>
      </c>
      <c r="M1191">
        <v>12993</v>
      </c>
      <c r="N1191">
        <v>901</v>
      </c>
      <c r="O1191">
        <v>4852067</v>
      </c>
      <c r="P1191">
        <v>79948</v>
      </c>
      <c r="Q1191">
        <v>492063</v>
      </c>
      <c r="R1191">
        <v>5259</v>
      </c>
      <c r="S1191">
        <v>1067</v>
      </c>
      <c r="T1191">
        <v>2578</v>
      </c>
    </row>
    <row r="1192" spans="1:20" x14ac:dyDescent="0.2">
      <c r="A1192" s="22">
        <v>46117</v>
      </c>
      <c r="B1192">
        <v>35722</v>
      </c>
      <c r="C1192">
        <v>17708</v>
      </c>
      <c r="D1192">
        <v>20319</v>
      </c>
      <c r="E1192">
        <v>72</v>
      </c>
      <c r="F1192" s="21">
        <v>802827</v>
      </c>
      <c r="G1192">
        <v>40510</v>
      </c>
      <c r="H1192">
        <v>611</v>
      </c>
      <c r="I1192">
        <v>3308</v>
      </c>
      <c r="J1192">
        <v>4281433</v>
      </c>
      <c r="K1192">
        <v>871469</v>
      </c>
      <c r="L1192">
        <v>187156</v>
      </c>
      <c r="M1192">
        <v>8768</v>
      </c>
      <c r="N1192">
        <v>611</v>
      </c>
      <c r="O1192">
        <v>2057720</v>
      </c>
      <c r="P1192">
        <v>48952</v>
      </c>
      <c r="Q1192">
        <v>171294</v>
      </c>
      <c r="R1192">
        <v>2463</v>
      </c>
      <c r="S1192">
        <v>521</v>
      </c>
      <c r="T1192">
        <v>2364</v>
      </c>
    </row>
    <row r="1193" spans="1:20" x14ac:dyDescent="0.2">
      <c r="A1193" s="22">
        <v>46118</v>
      </c>
      <c r="B1193">
        <v>32908</v>
      </c>
      <c r="C1193">
        <v>12384</v>
      </c>
      <c r="D1193">
        <v>22434</v>
      </c>
      <c r="E1193">
        <v>179</v>
      </c>
      <c r="F1193" s="21">
        <v>1540067</v>
      </c>
      <c r="G1193">
        <v>129431</v>
      </c>
      <c r="H1193">
        <v>972</v>
      </c>
      <c r="I1193">
        <v>6177</v>
      </c>
      <c r="J1193">
        <v>8372410</v>
      </c>
      <c r="K1193">
        <v>1166495</v>
      </c>
      <c r="L1193">
        <v>368762</v>
      </c>
      <c r="M1193">
        <v>13374</v>
      </c>
      <c r="N1193">
        <v>972</v>
      </c>
      <c r="O1193">
        <v>3933563</v>
      </c>
      <c r="P1193">
        <v>84901</v>
      </c>
      <c r="Q1193">
        <v>272992</v>
      </c>
      <c r="R1193">
        <v>3475</v>
      </c>
      <c r="S1193">
        <v>784</v>
      </c>
      <c r="T1193">
        <v>2168</v>
      </c>
    </row>
    <row r="1194" spans="1:20" x14ac:dyDescent="0.2">
      <c r="A1194" s="22">
        <v>46119</v>
      </c>
      <c r="B1194">
        <v>37734</v>
      </c>
      <c r="C1194">
        <v>15179</v>
      </c>
      <c r="D1194">
        <v>29230</v>
      </c>
      <c r="E1194">
        <v>152</v>
      </c>
      <c r="F1194" s="21">
        <v>1703825</v>
      </c>
      <c r="G1194">
        <v>158156</v>
      </c>
      <c r="H1194">
        <v>1119</v>
      </c>
      <c r="I1194">
        <v>7007</v>
      </c>
      <c r="J1194">
        <v>8836404</v>
      </c>
      <c r="K1194">
        <v>1094202</v>
      </c>
      <c r="L1194">
        <v>434582</v>
      </c>
      <c r="M1194">
        <v>19503</v>
      </c>
      <c r="N1194">
        <v>1119</v>
      </c>
      <c r="O1194">
        <v>6080417</v>
      </c>
      <c r="P1194">
        <v>144101</v>
      </c>
      <c r="Q1194">
        <v>436193</v>
      </c>
      <c r="R1194">
        <v>6798</v>
      </c>
      <c r="S1194">
        <v>1443</v>
      </c>
      <c r="T1194">
        <v>2689</v>
      </c>
    </row>
    <row r="1195" spans="1:20" x14ac:dyDescent="0.2">
      <c r="A1195" s="22">
        <v>46120</v>
      </c>
      <c r="B1195">
        <v>30482</v>
      </c>
      <c r="C1195">
        <v>12608</v>
      </c>
      <c r="D1195">
        <v>18442</v>
      </c>
      <c r="E1195">
        <v>175</v>
      </c>
      <c r="F1195" s="21">
        <v>1609477</v>
      </c>
      <c r="G1195">
        <v>174431</v>
      </c>
      <c r="H1195">
        <v>1189</v>
      </c>
      <c r="I1195">
        <v>6973</v>
      </c>
      <c r="J1195">
        <v>10491838</v>
      </c>
      <c r="K1195">
        <v>1415064</v>
      </c>
      <c r="L1195">
        <v>533924</v>
      </c>
      <c r="M1195">
        <v>22701</v>
      </c>
      <c r="N1195">
        <v>1189</v>
      </c>
      <c r="O1195">
        <v>8186627</v>
      </c>
      <c r="P1195">
        <v>144711</v>
      </c>
      <c r="Q1195">
        <v>404222</v>
      </c>
      <c r="R1195">
        <v>9327</v>
      </c>
      <c r="S1195">
        <v>2221</v>
      </c>
      <c r="T1195">
        <v>5598</v>
      </c>
    </row>
    <row r="1196" spans="1:20" x14ac:dyDescent="0.2">
      <c r="A1196" s="22">
        <v>46121</v>
      </c>
      <c r="B1196">
        <v>39716</v>
      </c>
      <c r="C1196">
        <v>18510</v>
      </c>
      <c r="D1196">
        <v>31717</v>
      </c>
      <c r="E1196">
        <v>179</v>
      </c>
      <c r="F1196" s="21">
        <v>1413510</v>
      </c>
      <c r="G1196">
        <v>126236</v>
      </c>
      <c r="H1196">
        <v>940</v>
      </c>
      <c r="I1196">
        <v>6046</v>
      </c>
      <c r="J1196">
        <v>8176511</v>
      </c>
      <c r="K1196">
        <v>1324801</v>
      </c>
      <c r="L1196">
        <v>374544</v>
      </c>
      <c r="M1196">
        <v>17021</v>
      </c>
      <c r="N1196">
        <v>940</v>
      </c>
      <c r="O1196">
        <v>7830452</v>
      </c>
      <c r="P1196">
        <v>159869</v>
      </c>
      <c r="Q1196">
        <v>380593</v>
      </c>
      <c r="R1196">
        <v>10832</v>
      </c>
      <c r="S1196">
        <v>2091</v>
      </c>
      <c r="T1196">
        <v>4427</v>
      </c>
    </row>
    <row r="1197" spans="1:20" x14ac:dyDescent="0.2">
      <c r="A1197" s="22">
        <v>46122</v>
      </c>
      <c r="B1197">
        <v>39328</v>
      </c>
      <c r="C1197">
        <v>15530</v>
      </c>
      <c r="D1197">
        <v>21599</v>
      </c>
      <c r="E1197">
        <v>89</v>
      </c>
      <c r="F1197" s="21">
        <v>1450230</v>
      </c>
      <c r="G1197">
        <v>160470</v>
      </c>
      <c r="H1197">
        <v>920</v>
      </c>
      <c r="I1197">
        <v>5684</v>
      </c>
      <c r="J1197">
        <v>5850642</v>
      </c>
      <c r="K1197">
        <v>1101940</v>
      </c>
      <c r="L1197">
        <v>269520</v>
      </c>
      <c r="M1197">
        <v>12661</v>
      </c>
      <c r="N1197">
        <v>920</v>
      </c>
      <c r="O1197">
        <v>8033940</v>
      </c>
      <c r="P1197">
        <v>144062</v>
      </c>
      <c r="Q1197">
        <v>676101</v>
      </c>
      <c r="R1197">
        <v>9391</v>
      </c>
      <c r="S1197">
        <v>1983</v>
      </c>
      <c r="T1197">
        <v>2816</v>
      </c>
    </row>
    <row r="1198" spans="1:20" x14ac:dyDescent="0.2">
      <c r="A1198" s="22">
        <v>46123</v>
      </c>
      <c r="B1198">
        <v>27569</v>
      </c>
      <c r="C1198">
        <v>12626</v>
      </c>
      <c r="D1198">
        <v>16821</v>
      </c>
      <c r="E1198">
        <v>174</v>
      </c>
      <c r="F1198" s="21">
        <v>1031579</v>
      </c>
      <c r="G1198">
        <v>73391</v>
      </c>
      <c r="H1198">
        <v>728</v>
      </c>
      <c r="I1198">
        <v>4383</v>
      </c>
      <c r="J1198">
        <v>3572279</v>
      </c>
      <c r="K1198">
        <v>746767</v>
      </c>
      <c r="L1198">
        <v>172520</v>
      </c>
      <c r="M1198">
        <v>9317</v>
      </c>
      <c r="N1198">
        <v>728</v>
      </c>
      <c r="O1198">
        <v>8895442</v>
      </c>
      <c r="P1198">
        <v>139013</v>
      </c>
      <c r="Q1198">
        <v>627878</v>
      </c>
      <c r="R1198">
        <v>8377</v>
      </c>
      <c r="S1198">
        <v>1788</v>
      </c>
      <c r="T1198">
        <v>2809</v>
      </c>
    </row>
    <row r="1199" spans="1:20" x14ac:dyDescent="0.2">
      <c r="A1199" s="22">
        <v>46124</v>
      </c>
      <c r="B1199">
        <v>34095</v>
      </c>
      <c r="C1199">
        <v>13695</v>
      </c>
      <c r="D1199">
        <v>22585</v>
      </c>
      <c r="E1199">
        <v>77</v>
      </c>
      <c r="F1199" s="21">
        <v>694934</v>
      </c>
      <c r="G1199">
        <v>38934</v>
      </c>
      <c r="H1199">
        <v>958</v>
      </c>
      <c r="I1199">
        <v>3099</v>
      </c>
      <c r="J1199">
        <v>2934198</v>
      </c>
      <c r="K1199">
        <v>706300</v>
      </c>
      <c r="L1199">
        <v>144409</v>
      </c>
      <c r="M1199">
        <v>8497</v>
      </c>
      <c r="N1199">
        <v>958</v>
      </c>
      <c r="O1199">
        <v>5920947</v>
      </c>
      <c r="P1199">
        <v>106376</v>
      </c>
      <c r="Q1199">
        <v>333788</v>
      </c>
      <c r="R1199">
        <v>5107</v>
      </c>
      <c r="S1199">
        <v>1061</v>
      </c>
      <c r="T1199">
        <v>2820</v>
      </c>
    </row>
    <row r="1200" spans="1:20" x14ac:dyDescent="0.2">
      <c r="A1200" s="22">
        <v>46125</v>
      </c>
      <c r="B1200">
        <v>28815</v>
      </c>
      <c r="C1200">
        <v>12346</v>
      </c>
      <c r="D1200">
        <v>17276</v>
      </c>
      <c r="E1200">
        <v>146</v>
      </c>
      <c r="F1200" s="21">
        <v>1646888</v>
      </c>
      <c r="G1200">
        <v>159032</v>
      </c>
      <c r="H1200">
        <v>1131</v>
      </c>
      <c r="I1200">
        <v>6859</v>
      </c>
      <c r="J1200">
        <v>8417544</v>
      </c>
      <c r="K1200">
        <v>1098737</v>
      </c>
      <c r="L1200">
        <v>345845</v>
      </c>
      <c r="M1200">
        <v>15810</v>
      </c>
      <c r="N1200">
        <v>1131</v>
      </c>
      <c r="O1200">
        <v>4952909</v>
      </c>
      <c r="P1200">
        <v>112553</v>
      </c>
      <c r="Q1200">
        <v>311684</v>
      </c>
      <c r="R1200">
        <v>6025</v>
      </c>
      <c r="S1200">
        <v>1161</v>
      </c>
      <c r="T1200">
        <v>2491</v>
      </c>
    </row>
    <row r="1201" spans="1:20" x14ac:dyDescent="0.2">
      <c r="A1201" s="22">
        <v>46126</v>
      </c>
      <c r="B1201">
        <v>26284</v>
      </c>
      <c r="C1201">
        <v>10064</v>
      </c>
      <c r="D1201">
        <v>18627</v>
      </c>
      <c r="E1201">
        <v>144</v>
      </c>
      <c r="F1201" s="21">
        <v>1748372</v>
      </c>
      <c r="G1201">
        <v>167813</v>
      </c>
      <c r="H1201">
        <v>995</v>
      </c>
      <c r="I1201">
        <v>7666</v>
      </c>
      <c r="J1201">
        <v>10473861</v>
      </c>
      <c r="K1201">
        <v>1268719</v>
      </c>
      <c r="L1201">
        <v>426126</v>
      </c>
      <c r="M1201">
        <v>19803</v>
      </c>
      <c r="N1201">
        <v>995</v>
      </c>
      <c r="O1201">
        <v>7343171</v>
      </c>
      <c r="P1201">
        <v>196656</v>
      </c>
      <c r="Q1201">
        <v>500153</v>
      </c>
      <c r="R1201">
        <v>8494</v>
      </c>
      <c r="S1201">
        <v>1825</v>
      </c>
      <c r="T1201">
        <v>2767</v>
      </c>
    </row>
    <row r="1202" spans="1:20" x14ac:dyDescent="0.2">
      <c r="A1202" s="22">
        <v>46127</v>
      </c>
      <c r="B1202">
        <v>32737</v>
      </c>
      <c r="C1202">
        <v>14438</v>
      </c>
      <c r="D1202">
        <v>25945</v>
      </c>
      <c r="E1202">
        <v>113</v>
      </c>
      <c r="F1202" s="21">
        <v>1587009</v>
      </c>
      <c r="G1202">
        <v>153420</v>
      </c>
      <c r="H1202">
        <v>1033</v>
      </c>
      <c r="I1202">
        <v>7149</v>
      </c>
      <c r="J1202">
        <v>9523928</v>
      </c>
      <c r="K1202">
        <v>1199494</v>
      </c>
      <c r="L1202">
        <v>372700</v>
      </c>
      <c r="M1202">
        <v>17191</v>
      </c>
      <c r="N1202">
        <v>1033</v>
      </c>
      <c r="O1202">
        <v>8152596</v>
      </c>
      <c r="P1202">
        <v>157171</v>
      </c>
      <c r="Q1202">
        <v>691886</v>
      </c>
      <c r="R1202">
        <v>8880</v>
      </c>
      <c r="S1202">
        <v>1867</v>
      </c>
      <c r="T1202">
        <v>2664</v>
      </c>
    </row>
    <row r="1203" spans="1:20" x14ac:dyDescent="0.2">
      <c r="A1203" s="22">
        <v>46128</v>
      </c>
      <c r="B1203">
        <v>33085</v>
      </c>
      <c r="C1203">
        <v>14770</v>
      </c>
      <c r="D1203">
        <v>25694</v>
      </c>
      <c r="E1203">
        <v>158</v>
      </c>
      <c r="F1203" s="21">
        <v>1260719</v>
      </c>
      <c r="G1203">
        <v>92205</v>
      </c>
      <c r="H1203">
        <v>762</v>
      </c>
      <c r="I1203">
        <v>6110</v>
      </c>
      <c r="J1203">
        <v>8382558</v>
      </c>
      <c r="K1203">
        <v>1077396</v>
      </c>
      <c r="L1203">
        <v>348913</v>
      </c>
      <c r="M1203">
        <v>15496</v>
      </c>
      <c r="N1203">
        <v>762</v>
      </c>
      <c r="O1203">
        <v>8202095</v>
      </c>
      <c r="P1203">
        <v>174891</v>
      </c>
      <c r="Q1203">
        <v>820096</v>
      </c>
      <c r="R1203">
        <v>10364</v>
      </c>
      <c r="S1203">
        <v>2089</v>
      </c>
      <c r="T1203">
        <v>3051</v>
      </c>
    </row>
    <row r="1204" spans="1:20" x14ac:dyDescent="0.2">
      <c r="A1204" s="22">
        <v>46129</v>
      </c>
      <c r="B1204">
        <v>32299</v>
      </c>
      <c r="C1204">
        <v>16097</v>
      </c>
      <c r="D1204">
        <v>22388</v>
      </c>
      <c r="E1204">
        <v>85</v>
      </c>
      <c r="F1204" s="21">
        <v>1480087</v>
      </c>
      <c r="G1204">
        <v>122054</v>
      </c>
      <c r="H1204">
        <v>798</v>
      </c>
      <c r="I1204">
        <v>6408</v>
      </c>
      <c r="J1204">
        <v>9578445</v>
      </c>
      <c r="K1204">
        <v>1081278</v>
      </c>
      <c r="L1204">
        <v>400302</v>
      </c>
      <c r="M1204">
        <v>17609</v>
      </c>
      <c r="N1204">
        <v>798</v>
      </c>
      <c r="O1204">
        <v>7691587</v>
      </c>
      <c r="P1204">
        <v>133813</v>
      </c>
      <c r="Q1204">
        <v>576893</v>
      </c>
      <c r="R1204">
        <v>7550</v>
      </c>
      <c r="S1204">
        <v>1725</v>
      </c>
      <c r="T1204">
        <v>3886</v>
      </c>
    </row>
    <row r="1205" spans="1:20" x14ac:dyDescent="0.2">
      <c r="A1205" s="22">
        <v>46130</v>
      </c>
      <c r="B1205">
        <v>34258</v>
      </c>
      <c r="C1205">
        <v>14429</v>
      </c>
      <c r="D1205">
        <v>24414</v>
      </c>
      <c r="E1205">
        <v>93</v>
      </c>
      <c r="F1205" s="21">
        <v>1371207</v>
      </c>
      <c r="G1205">
        <v>118928</v>
      </c>
      <c r="H1205">
        <v>1400</v>
      </c>
      <c r="I1205">
        <v>5977</v>
      </c>
      <c r="J1205">
        <v>8386529</v>
      </c>
      <c r="K1205">
        <v>1160882</v>
      </c>
      <c r="L1205">
        <v>400041</v>
      </c>
      <c r="M1205">
        <v>16109</v>
      </c>
      <c r="N1205">
        <v>1400</v>
      </c>
      <c r="O1205">
        <v>8139509</v>
      </c>
      <c r="P1205">
        <v>126670</v>
      </c>
      <c r="Q1205">
        <v>837274</v>
      </c>
      <c r="R1205">
        <v>7256</v>
      </c>
      <c r="S1205">
        <v>1382</v>
      </c>
      <c r="T1205">
        <v>3926</v>
      </c>
    </row>
    <row r="1206" spans="1:20" x14ac:dyDescent="0.2">
      <c r="A1206" s="22">
        <v>46131</v>
      </c>
      <c r="B1206">
        <v>30793</v>
      </c>
      <c r="C1206">
        <v>14961</v>
      </c>
      <c r="D1206">
        <v>17860</v>
      </c>
      <c r="E1206">
        <v>111</v>
      </c>
      <c r="F1206" s="21">
        <v>938506</v>
      </c>
      <c r="G1206">
        <v>53618</v>
      </c>
      <c r="H1206">
        <v>840</v>
      </c>
      <c r="I1206">
        <v>4344</v>
      </c>
      <c r="J1206">
        <v>4533328</v>
      </c>
      <c r="K1206">
        <v>949383</v>
      </c>
      <c r="L1206">
        <v>203458</v>
      </c>
      <c r="M1206">
        <v>10899</v>
      </c>
      <c r="N1206">
        <v>840</v>
      </c>
      <c r="O1206">
        <v>6471471</v>
      </c>
      <c r="P1206">
        <v>94952</v>
      </c>
      <c r="Q1206">
        <v>401829</v>
      </c>
      <c r="R1206">
        <v>6300</v>
      </c>
      <c r="S1206">
        <v>1269</v>
      </c>
      <c r="T1206">
        <v>3399</v>
      </c>
    </row>
    <row r="1207" spans="1:20" x14ac:dyDescent="0.2">
      <c r="A1207" s="22">
        <v>46132</v>
      </c>
      <c r="B1207">
        <v>36450</v>
      </c>
      <c r="C1207">
        <v>13082</v>
      </c>
      <c r="D1207">
        <v>22406</v>
      </c>
      <c r="E1207">
        <v>78</v>
      </c>
      <c r="F1207" s="21">
        <v>1967368</v>
      </c>
      <c r="G1207">
        <v>210780</v>
      </c>
      <c r="H1207">
        <v>3455</v>
      </c>
      <c r="I1207">
        <v>8468</v>
      </c>
      <c r="J1207">
        <v>10246103</v>
      </c>
      <c r="K1207">
        <v>1364919</v>
      </c>
      <c r="L1207">
        <v>515058</v>
      </c>
      <c r="M1207">
        <v>17670</v>
      </c>
      <c r="N1207">
        <v>3455</v>
      </c>
      <c r="O1207">
        <v>10715343</v>
      </c>
      <c r="P1207">
        <v>156610</v>
      </c>
      <c r="Q1207">
        <v>707119</v>
      </c>
      <c r="R1207">
        <v>7677</v>
      </c>
      <c r="S1207">
        <v>1800</v>
      </c>
      <c r="T1207">
        <v>3467</v>
      </c>
    </row>
    <row r="1208" spans="1:20" x14ac:dyDescent="0.2">
      <c r="A1208" s="22">
        <v>46133</v>
      </c>
      <c r="B1208">
        <v>35296</v>
      </c>
      <c r="C1208">
        <v>14648</v>
      </c>
      <c r="D1208">
        <v>19217</v>
      </c>
      <c r="E1208">
        <v>79</v>
      </c>
      <c r="F1208" s="21">
        <v>1600151</v>
      </c>
      <c r="G1208">
        <v>152344</v>
      </c>
      <c r="H1208">
        <v>1599</v>
      </c>
      <c r="I1208">
        <v>7036</v>
      </c>
      <c r="J1208">
        <v>11131621</v>
      </c>
      <c r="K1208">
        <v>2493431</v>
      </c>
      <c r="L1208">
        <v>466493</v>
      </c>
      <c r="M1208">
        <v>16713</v>
      </c>
      <c r="N1208">
        <v>1599</v>
      </c>
      <c r="O1208">
        <v>7092964</v>
      </c>
      <c r="P1208">
        <v>150303</v>
      </c>
      <c r="Q1208">
        <v>553551</v>
      </c>
      <c r="R1208">
        <v>10213</v>
      </c>
      <c r="S1208">
        <v>1804</v>
      </c>
      <c r="T1208">
        <v>2819</v>
      </c>
    </row>
    <row r="1209" spans="1:20" x14ac:dyDescent="0.2">
      <c r="A1209" s="22">
        <v>46134</v>
      </c>
      <c r="B1209">
        <v>25601</v>
      </c>
      <c r="C1209">
        <v>12150</v>
      </c>
      <c r="D1209">
        <v>14754</v>
      </c>
      <c r="E1209">
        <v>104</v>
      </c>
      <c r="F1209" s="21">
        <v>1427156</v>
      </c>
      <c r="G1209">
        <v>118673</v>
      </c>
      <c r="H1209">
        <v>980</v>
      </c>
      <c r="I1209">
        <v>6546</v>
      </c>
      <c r="J1209">
        <v>10609293</v>
      </c>
      <c r="K1209">
        <v>1347002</v>
      </c>
      <c r="L1209">
        <v>439169</v>
      </c>
      <c r="M1209">
        <v>19044</v>
      </c>
      <c r="N1209">
        <v>980</v>
      </c>
      <c r="O1209">
        <v>9590734</v>
      </c>
      <c r="P1209">
        <v>275570</v>
      </c>
      <c r="Q1209">
        <v>792444</v>
      </c>
      <c r="R1209">
        <v>11849</v>
      </c>
      <c r="S1209">
        <v>2099</v>
      </c>
      <c r="T1209">
        <v>3248</v>
      </c>
    </row>
    <row r="1210" spans="1:20" x14ac:dyDescent="0.2">
      <c r="A1210" s="22">
        <v>46135</v>
      </c>
      <c r="B1210">
        <v>29255</v>
      </c>
      <c r="C1210">
        <v>15321</v>
      </c>
      <c r="D1210">
        <v>16947</v>
      </c>
      <c r="E1210">
        <v>120</v>
      </c>
      <c r="F1210" s="21">
        <v>1187669</v>
      </c>
      <c r="G1210">
        <v>105598</v>
      </c>
      <c r="H1210">
        <v>604</v>
      </c>
      <c r="I1210">
        <v>4766</v>
      </c>
      <c r="J1210">
        <v>9261398</v>
      </c>
      <c r="K1210">
        <v>1429430</v>
      </c>
      <c r="L1210">
        <v>393199</v>
      </c>
      <c r="M1210">
        <v>17171</v>
      </c>
      <c r="N1210">
        <v>604</v>
      </c>
      <c r="O1210">
        <v>11315763</v>
      </c>
      <c r="P1210">
        <v>136140</v>
      </c>
      <c r="Q1210">
        <v>817436</v>
      </c>
      <c r="R1210">
        <v>14158</v>
      </c>
      <c r="S1210">
        <v>3074</v>
      </c>
      <c r="T1210">
        <v>3511</v>
      </c>
    </row>
    <row r="1211" spans="1:20" x14ac:dyDescent="0.2">
      <c r="A1211" s="22">
        <v>46136</v>
      </c>
      <c r="B1211">
        <v>39677</v>
      </c>
      <c r="C1211">
        <v>17821</v>
      </c>
      <c r="D1211">
        <v>29797</v>
      </c>
      <c r="E1211">
        <v>85</v>
      </c>
      <c r="F1211" s="21">
        <v>1448548</v>
      </c>
      <c r="G1211">
        <v>106044</v>
      </c>
      <c r="H1211">
        <v>1001</v>
      </c>
      <c r="I1211">
        <v>5794</v>
      </c>
      <c r="J1211">
        <v>7130175</v>
      </c>
      <c r="K1211">
        <v>1260688</v>
      </c>
      <c r="L1211">
        <v>288931</v>
      </c>
      <c r="M1211">
        <v>13051</v>
      </c>
      <c r="N1211">
        <v>1001</v>
      </c>
      <c r="O1211">
        <v>8463009</v>
      </c>
      <c r="P1211">
        <v>116670</v>
      </c>
      <c r="Q1211">
        <v>440759</v>
      </c>
      <c r="R1211">
        <v>7392</v>
      </c>
      <c r="S1211">
        <v>1493</v>
      </c>
      <c r="T1211">
        <v>3053</v>
      </c>
    </row>
    <row r="1212" spans="1:20" x14ac:dyDescent="0.2">
      <c r="A1212" s="22">
        <v>46137</v>
      </c>
      <c r="B1212">
        <v>29089</v>
      </c>
      <c r="C1212">
        <v>14924</v>
      </c>
      <c r="D1212">
        <v>17960</v>
      </c>
      <c r="E1212">
        <v>88</v>
      </c>
      <c r="F1212" s="21">
        <v>1366117</v>
      </c>
      <c r="G1212">
        <v>91703</v>
      </c>
      <c r="H1212">
        <v>1110</v>
      </c>
      <c r="I1212">
        <v>5634</v>
      </c>
      <c r="J1212">
        <v>7962441</v>
      </c>
      <c r="K1212">
        <v>1299687</v>
      </c>
      <c r="L1212">
        <v>323190</v>
      </c>
      <c r="M1212">
        <v>14351</v>
      </c>
      <c r="N1212">
        <v>1110</v>
      </c>
      <c r="O1212">
        <v>7180783</v>
      </c>
      <c r="P1212">
        <v>112574</v>
      </c>
      <c r="Q1212">
        <v>405132</v>
      </c>
      <c r="R1212">
        <v>5574</v>
      </c>
      <c r="S1212">
        <v>1291</v>
      </c>
      <c r="T1212">
        <v>3168</v>
      </c>
    </row>
    <row r="1213" spans="1:20" x14ac:dyDescent="0.2">
      <c r="A1213" s="22">
        <v>46138</v>
      </c>
      <c r="B1213">
        <v>34830</v>
      </c>
      <c r="C1213">
        <v>12609</v>
      </c>
      <c r="D1213">
        <v>21299</v>
      </c>
      <c r="E1213">
        <v>105</v>
      </c>
      <c r="F1213" s="21">
        <v>849781</v>
      </c>
      <c r="G1213">
        <v>45721</v>
      </c>
      <c r="H1213">
        <v>650</v>
      </c>
      <c r="I1213">
        <v>3861</v>
      </c>
      <c r="J1213">
        <v>4982206</v>
      </c>
      <c r="K1213">
        <v>1069357</v>
      </c>
      <c r="L1213">
        <v>224957</v>
      </c>
      <c r="M1213">
        <v>11234</v>
      </c>
      <c r="N1213">
        <v>650</v>
      </c>
      <c r="O1213">
        <v>5412168</v>
      </c>
      <c r="P1213">
        <v>108064</v>
      </c>
      <c r="Q1213">
        <v>340663</v>
      </c>
      <c r="R1213">
        <v>7932</v>
      </c>
      <c r="S1213">
        <v>1250</v>
      </c>
      <c r="T1213">
        <v>3177</v>
      </c>
    </row>
    <row r="1214" spans="1:20" x14ac:dyDescent="0.2">
      <c r="A1214" s="22">
        <v>46139</v>
      </c>
      <c r="B1214">
        <v>33722</v>
      </c>
      <c r="C1214">
        <v>11877</v>
      </c>
      <c r="D1214">
        <v>23590</v>
      </c>
      <c r="E1214">
        <v>133</v>
      </c>
      <c r="F1214" s="21">
        <v>1554210</v>
      </c>
      <c r="G1214">
        <v>143636</v>
      </c>
      <c r="H1214">
        <v>801</v>
      </c>
      <c r="I1214">
        <v>6889</v>
      </c>
      <c r="J1214">
        <v>12629907</v>
      </c>
      <c r="K1214">
        <v>1263901</v>
      </c>
      <c r="L1214">
        <v>515772</v>
      </c>
      <c r="M1214">
        <v>18757</v>
      </c>
      <c r="N1214">
        <v>801</v>
      </c>
      <c r="O1214">
        <v>9886058</v>
      </c>
      <c r="P1214">
        <v>199511</v>
      </c>
      <c r="Q1214">
        <v>592770</v>
      </c>
      <c r="R1214">
        <v>11498</v>
      </c>
      <c r="S1214">
        <v>2575</v>
      </c>
      <c r="T1214">
        <v>2891</v>
      </c>
    </row>
    <row r="1215" spans="1:20" x14ac:dyDescent="0.2">
      <c r="A1215" s="22">
        <v>46140</v>
      </c>
      <c r="B1215">
        <v>39779</v>
      </c>
      <c r="C1215">
        <v>14167</v>
      </c>
      <c r="D1215">
        <v>31442</v>
      </c>
      <c r="E1215">
        <v>148</v>
      </c>
      <c r="F1215" s="21">
        <v>1348203</v>
      </c>
      <c r="G1215">
        <v>108237</v>
      </c>
      <c r="H1215">
        <v>943</v>
      </c>
      <c r="I1215">
        <v>5343</v>
      </c>
      <c r="J1215">
        <v>9790540</v>
      </c>
      <c r="K1215">
        <v>1261567</v>
      </c>
      <c r="L1215">
        <v>435112</v>
      </c>
      <c r="M1215">
        <v>15743</v>
      </c>
      <c r="N1215">
        <v>943</v>
      </c>
      <c r="O1215">
        <v>8876424</v>
      </c>
      <c r="P1215">
        <v>145801</v>
      </c>
      <c r="Q1215">
        <v>407747</v>
      </c>
      <c r="R1215">
        <v>7800</v>
      </c>
      <c r="S1215">
        <v>1630</v>
      </c>
      <c r="T1215">
        <v>2819</v>
      </c>
    </row>
    <row r="1216" spans="1:20" x14ac:dyDescent="0.2">
      <c r="A1216" s="22">
        <v>46141</v>
      </c>
      <c r="B1216">
        <v>34597</v>
      </c>
      <c r="C1216">
        <v>16678</v>
      </c>
      <c r="D1216">
        <v>20871</v>
      </c>
      <c r="E1216">
        <v>98</v>
      </c>
      <c r="F1216" s="21">
        <v>1532068</v>
      </c>
      <c r="G1216">
        <v>151690</v>
      </c>
      <c r="H1216">
        <v>1076</v>
      </c>
      <c r="I1216">
        <v>6778</v>
      </c>
      <c r="J1216">
        <v>8366274</v>
      </c>
      <c r="K1216">
        <v>1371803</v>
      </c>
      <c r="L1216">
        <v>351190</v>
      </c>
      <c r="M1216">
        <v>16361</v>
      </c>
      <c r="N1216">
        <v>1076</v>
      </c>
      <c r="O1216">
        <v>6734229</v>
      </c>
      <c r="P1216">
        <v>144995</v>
      </c>
      <c r="Q1216">
        <v>493474</v>
      </c>
      <c r="R1216">
        <v>7160</v>
      </c>
      <c r="S1216">
        <v>1136</v>
      </c>
      <c r="T1216">
        <v>3125</v>
      </c>
    </row>
    <row r="1217" spans="1:20" x14ac:dyDescent="0.2">
      <c r="A1217" s="22">
        <v>46142</v>
      </c>
      <c r="B1217">
        <v>30887</v>
      </c>
      <c r="C1217">
        <v>11668</v>
      </c>
      <c r="D1217">
        <v>22883</v>
      </c>
      <c r="E1217">
        <v>67</v>
      </c>
      <c r="F1217" s="21">
        <v>1321580</v>
      </c>
      <c r="G1217">
        <v>135706</v>
      </c>
      <c r="H1217">
        <v>914</v>
      </c>
      <c r="I1217">
        <v>6021</v>
      </c>
      <c r="J1217">
        <v>10008026</v>
      </c>
      <c r="K1217">
        <v>1392942</v>
      </c>
      <c r="L1217">
        <v>420526</v>
      </c>
      <c r="M1217">
        <v>17011</v>
      </c>
      <c r="N1217">
        <v>914</v>
      </c>
      <c r="O1217">
        <v>5022089</v>
      </c>
      <c r="P1217">
        <v>116832</v>
      </c>
      <c r="Q1217">
        <v>342161</v>
      </c>
      <c r="R1217">
        <v>6065</v>
      </c>
      <c r="S1217">
        <v>1196</v>
      </c>
      <c r="T1217">
        <v>3016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38A9-D82A-9C43-9C65-EDD561C2B28E}">
  <dimension ref="A1:M112"/>
  <sheetViews>
    <sheetView workbookViewId="0">
      <selection activeCell="Q23" sqref="Q23"/>
    </sheetView>
  </sheetViews>
  <sheetFormatPr baseColWidth="10" defaultRowHeight="16" x14ac:dyDescent="0.2"/>
  <cols>
    <col min="1" max="1" width="24.83203125" customWidth="1"/>
    <col min="3" max="3" width="14.33203125" customWidth="1"/>
    <col min="4" max="4" width="22" customWidth="1"/>
    <col min="5" max="5" width="18.6640625" customWidth="1"/>
    <col min="6" max="6" width="18.83203125" customWidth="1"/>
    <col min="7" max="7" width="16.5" customWidth="1"/>
    <col min="8" max="8" width="11.83203125" customWidth="1"/>
    <col min="9" max="9" width="14.5" customWidth="1"/>
    <col min="12" max="12" width="11.5" customWidth="1"/>
  </cols>
  <sheetData>
    <row r="1" spans="1:13" x14ac:dyDescent="0.2">
      <c r="A1" t="s">
        <v>713</v>
      </c>
      <c r="B1" t="s">
        <v>712</v>
      </c>
      <c r="C1" t="s">
        <v>711</v>
      </c>
      <c r="D1" t="s">
        <v>710</v>
      </c>
      <c r="E1" t="s">
        <v>709</v>
      </c>
      <c r="F1" t="s">
        <v>708</v>
      </c>
      <c r="G1" t="s">
        <v>707</v>
      </c>
      <c r="H1" t="s">
        <v>1227</v>
      </c>
      <c r="I1" t="s">
        <v>706</v>
      </c>
      <c r="J1" t="s">
        <v>705</v>
      </c>
      <c r="K1" t="s">
        <v>704</v>
      </c>
      <c r="L1" t="s">
        <v>703</v>
      </c>
    </row>
    <row r="2" spans="1:13" x14ac:dyDescent="0.2">
      <c r="A2">
        <v>3.2100370000000799E+18</v>
      </c>
      <c r="B2" t="s">
        <v>83</v>
      </c>
      <c r="C2" t="s">
        <v>604</v>
      </c>
      <c r="D2" s="22">
        <v>44669</v>
      </c>
      <c r="E2" s="22">
        <v>45877</v>
      </c>
      <c r="F2">
        <v>46</v>
      </c>
      <c r="G2" s="5">
        <v>67703800</v>
      </c>
      <c r="H2">
        <f>G2/F2</f>
        <v>1471821.7391304348</v>
      </c>
      <c r="I2" s="11">
        <f>DATE(2026, 5, 8) - E2</f>
        <v>273</v>
      </c>
      <c r="J2" t="str">
        <f>IF((DATE(2026,5,8)-E2)&lt;=180, "ACTIVE", "INACTIVE")</f>
        <v>INACTIVE</v>
      </c>
      <c r="K2">
        <f>IF((DATE(2026,5,8)-E2)&gt;180,1,0)</f>
        <v>1</v>
      </c>
      <c r="L2" s="22">
        <f>IF((DATE(2026,5,8)-E2)&gt;180,E2," ")</f>
        <v>45877</v>
      </c>
      <c r="M2" s="22"/>
    </row>
    <row r="3" spans="1:13" x14ac:dyDescent="0.2">
      <c r="A3" t="s">
        <v>702</v>
      </c>
      <c r="B3" t="s">
        <v>83</v>
      </c>
      <c r="C3" t="s">
        <v>604</v>
      </c>
      <c r="D3" s="22">
        <v>44672</v>
      </c>
      <c r="E3" s="22">
        <v>45979</v>
      </c>
      <c r="F3">
        <v>39</v>
      </c>
      <c r="G3" s="5">
        <v>27463036.050000001</v>
      </c>
      <c r="H3">
        <f t="shared" ref="H3:H66" si="0">G3/F3</f>
        <v>704180.41153846157</v>
      </c>
      <c r="I3" s="11">
        <f t="shared" ref="I3:I66" si="1">DATE(2026, 5, 8) - E3</f>
        <v>171</v>
      </c>
      <c r="J3" t="str">
        <f t="shared" ref="J3:J66" si="2">IF((DATE(2026,5,8)-E3)&lt;=180, "ACTIVE", "INACTIVE")</f>
        <v>ACTIVE</v>
      </c>
      <c r="K3">
        <f t="shared" ref="K3:K66" si="3">IF((DATE(2026,5,8)-E3)&gt;180,1,0)</f>
        <v>0</v>
      </c>
      <c r="L3" s="22" t="str">
        <f t="shared" ref="L3:L66" si="4">IF((DATE(2026,5,8)-E3)&gt;180,E3," ")</f>
        <v xml:space="preserve"> </v>
      </c>
      <c r="M3" s="22"/>
    </row>
    <row r="4" spans="1:13" x14ac:dyDescent="0.2">
      <c r="A4" t="s">
        <v>701</v>
      </c>
      <c r="B4" t="s">
        <v>723</v>
      </c>
      <c r="C4" t="s">
        <v>604</v>
      </c>
      <c r="D4" s="22">
        <v>44671</v>
      </c>
      <c r="E4" s="22">
        <v>46104</v>
      </c>
      <c r="F4">
        <v>36</v>
      </c>
      <c r="G4" s="5">
        <v>22014900</v>
      </c>
      <c r="H4">
        <f t="shared" si="0"/>
        <v>611525</v>
      </c>
      <c r="I4" s="11">
        <f t="shared" si="1"/>
        <v>46</v>
      </c>
      <c r="J4" t="str">
        <f t="shared" si="2"/>
        <v>ACTIVE</v>
      </c>
      <c r="K4">
        <f t="shared" si="3"/>
        <v>0</v>
      </c>
      <c r="L4" s="22" t="str">
        <f t="shared" si="4"/>
        <v xml:space="preserve"> </v>
      </c>
      <c r="M4" s="22"/>
    </row>
    <row r="5" spans="1:13" x14ac:dyDescent="0.2">
      <c r="A5" t="s">
        <v>700</v>
      </c>
      <c r="B5" t="s">
        <v>723</v>
      </c>
      <c r="C5" t="s">
        <v>604</v>
      </c>
      <c r="D5" s="22">
        <v>44679</v>
      </c>
      <c r="E5" s="22">
        <v>46111</v>
      </c>
      <c r="F5">
        <v>24</v>
      </c>
      <c r="G5" s="5">
        <v>20500000</v>
      </c>
      <c r="H5">
        <f t="shared" si="0"/>
        <v>854166.66666666663</v>
      </c>
      <c r="I5" s="11">
        <f t="shared" si="1"/>
        <v>39</v>
      </c>
      <c r="J5" t="str">
        <f t="shared" si="2"/>
        <v>ACTIVE</v>
      </c>
      <c r="K5">
        <f t="shared" si="3"/>
        <v>0</v>
      </c>
      <c r="L5" s="22" t="str">
        <f t="shared" si="4"/>
        <v xml:space="preserve"> </v>
      </c>
      <c r="M5" s="22"/>
    </row>
    <row r="6" spans="1:13" x14ac:dyDescent="0.2">
      <c r="A6" t="s">
        <v>699</v>
      </c>
      <c r="B6" t="s">
        <v>83</v>
      </c>
      <c r="C6" t="s">
        <v>604</v>
      </c>
      <c r="D6" s="22">
        <v>45936</v>
      </c>
      <c r="E6" s="22">
        <v>45527</v>
      </c>
      <c r="F6">
        <v>20</v>
      </c>
      <c r="G6" s="5">
        <v>16795000</v>
      </c>
      <c r="H6">
        <f t="shared" si="0"/>
        <v>839750</v>
      </c>
      <c r="I6" s="11">
        <f t="shared" si="1"/>
        <v>623</v>
      </c>
      <c r="J6" t="str">
        <f t="shared" si="2"/>
        <v>INACTIVE</v>
      </c>
      <c r="K6">
        <f t="shared" si="3"/>
        <v>1</v>
      </c>
      <c r="L6" s="22">
        <f t="shared" si="4"/>
        <v>45527</v>
      </c>
      <c r="M6" s="22"/>
    </row>
    <row r="7" spans="1:13" x14ac:dyDescent="0.2">
      <c r="A7" t="s">
        <v>698</v>
      </c>
      <c r="B7" t="s">
        <v>724</v>
      </c>
      <c r="C7" t="s">
        <v>604</v>
      </c>
      <c r="D7" s="22">
        <v>45026</v>
      </c>
      <c r="E7" s="22">
        <v>46134</v>
      </c>
      <c r="F7">
        <v>42</v>
      </c>
      <c r="G7" s="5">
        <v>14787000</v>
      </c>
      <c r="H7">
        <f t="shared" si="0"/>
        <v>352071.42857142858</v>
      </c>
      <c r="I7" s="11">
        <f t="shared" si="1"/>
        <v>16</v>
      </c>
      <c r="J7" t="str">
        <f t="shared" si="2"/>
        <v>ACTIVE</v>
      </c>
      <c r="K7">
        <f t="shared" si="3"/>
        <v>0</v>
      </c>
      <c r="L7" s="22" t="str">
        <f t="shared" si="4"/>
        <v xml:space="preserve"> </v>
      </c>
      <c r="M7" s="22"/>
    </row>
    <row r="8" spans="1:13" x14ac:dyDescent="0.2">
      <c r="A8" t="s">
        <v>697</v>
      </c>
      <c r="B8" t="s">
        <v>724</v>
      </c>
      <c r="C8" t="s">
        <v>604</v>
      </c>
      <c r="D8" s="22">
        <v>44681</v>
      </c>
      <c r="E8" s="22">
        <v>46107</v>
      </c>
      <c r="F8">
        <v>27</v>
      </c>
      <c r="G8" s="5">
        <v>12653200</v>
      </c>
      <c r="H8">
        <f t="shared" si="0"/>
        <v>468637.03703703702</v>
      </c>
      <c r="I8" s="11">
        <f t="shared" si="1"/>
        <v>43</v>
      </c>
      <c r="J8" t="str">
        <f t="shared" si="2"/>
        <v>ACTIVE</v>
      </c>
      <c r="K8">
        <f t="shared" si="3"/>
        <v>0</v>
      </c>
      <c r="L8" s="22" t="str">
        <f t="shared" si="4"/>
        <v xml:space="preserve"> </v>
      </c>
      <c r="M8" s="22"/>
    </row>
    <row r="9" spans="1:13" x14ac:dyDescent="0.2">
      <c r="A9" t="s">
        <v>696</v>
      </c>
      <c r="B9" t="s">
        <v>724</v>
      </c>
      <c r="C9" t="s">
        <v>604</v>
      </c>
      <c r="D9" s="22">
        <v>44814</v>
      </c>
      <c r="E9" s="22">
        <v>46143</v>
      </c>
      <c r="F9">
        <v>38</v>
      </c>
      <c r="G9" s="5">
        <v>12070000</v>
      </c>
      <c r="H9">
        <f t="shared" si="0"/>
        <v>317631.57894736843</v>
      </c>
      <c r="I9" s="11">
        <f t="shared" si="1"/>
        <v>7</v>
      </c>
      <c r="J9" t="str">
        <f t="shared" si="2"/>
        <v>ACTIVE</v>
      </c>
      <c r="K9">
        <f t="shared" si="3"/>
        <v>0</v>
      </c>
      <c r="L9" s="22" t="str">
        <f t="shared" si="4"/>
        <v xml:space="preserve"> </v>
      </c>
      <c r="M9" s="22"/>
    </row>
    <row r="10" spans="1:13" x14ac:dyDescent="0.2">
      <c r="A10" t="s">
        <v>695</v>
      </c>
      <c r="B10" t="s">
        <v>724</v>
      </c>
      <c r="C10" t="s">
        <v>604</v>
      </c>
      <c r="D10" s="22">
        <v>45420</v>
      </c>
      <c r="E10" s="22">
        <v>46122</v>
      </c>
      <c r="F10">
        <v>40</v>
      </c>
      <c r="G10" s="5">
        <v>11140000</v>
      </c>
      <c r="H10">
        <f t="shared" si="0"/>
        <v>278500</v>
      </c>
      <c r="I10" s="11">
        <f t="shared" si="1"/>
        <v>28</v>
      </c>
      <c r="J10" t="str">
        <f t="shared" si="2"/>
        <v>ACTIVE</v>
      </c>
      <c r="K10">
        <f t="shared" si="3"/>
        <v>0</v>
      </c>
      <c r="L10" s="22" t="str">
        <f t="shared" si="4"/>
        <v xml:space="preserve"> </v>
      </c>
      <c r="M10" s="22"/>
    </row>
    <row r="11" spans="1:13" x14ac:dyDescent="0.2">
      <c r="A11" t="s">
        <v>694</v>
      </c>
      <c r="B11" t="s">
        <v>83</v>
      </c>
      <c r="C11" t="s">
        <v>604</v>
      </c>
      <c r="D11" s="22">
        <v>45056</v>
      </c>
      <c r="E11" s="22">
        <v>45532</v>
      </c>
      <c r="F11">
        <v>7</v>
      </c>
      <c r="G11" s="5">
        <v>10875600</v>
      </c>
      <c r="H11">
        <f t="shared" si="0"/>
        <v>1553657.142857143</v>
      </c>
      <c r="I11" s="11">
        <f t="shared" si="1"/>
        <v>618</v>
      </c>
      <c r="J11" t="str">
        <f t="shared" si="2"/>
        <v>INACTIVE</v>
      </c>
      <c r="K11">
        <f t="shared" si="3"/>
        <v>1</v>
      </c>
      <c r="L11" s="22">
        <f t="shared" si="4"/>
        <v>45532</v>
      </c>
      <c r="M11" s="22"/>
    </row>
    <row r="12" spans="1:13" x14ac:dyDescent="0.2">
      <c r="A12" t="s">
        <v>693</v>
      </c>
      <c r="B12" t="s">
        <v>83</v>
      </c>
      <c r="C12" t="s">
        <v>688</v>
      </c>
      <c r="D12" s="22">
        <v>45047</v>
      </c>
      <c r="E12" s="22">
        <v>45983</v>
      </c>
      <c r="F12">
        <v>4</v>
      </c>
      <c r="G12" s="5">
        <v>9429000</v>
      </c>
      <c r="H12">
        <f t="shared" si="0"/>
        <v>2357250</v>
      </c>
      <c r="I12" s="11">
        <f t="shared" si="1"/>
        <v>167</v>
      </c>
      <c r="J12" t="str">
        <f t="shared" si="2"/>
        <v>ACTIVE</v>
      </c>
      <c r="K12">
        <f t="shared" si="3"/>
        <v>0</v>
      </c>
      <c r="L12" s="22" t="str">
        <f t="shared" si="4"/>
        <v xml:space="preserve"> </v>
      </c>
      <c r="M12" s="22"/>
    </row>
    <row r="13" spans="1:13" x14ac:dyDescent="0.2">
      <c r="A13" t="s">
        <v>692</v>
      </c>
      <c r="B13" t="s">
        <v>724</v>
      </c>
      <c r="C13" t="s">
        <v>604</v>
      </c>
      <c r="D13" s="22">
        <v>45702</v>
      </c>
      <c r="E13" s="22">
        <v>45256</v>
      </c>
      <c r="F13">
        <v>12</v>
      </c>
      <c r="G13" s="5">
        <v>8976000</v>
      </c>
      <c r="H13">
        <f t="shared" si="0"/>
        <v>748000</v>
      </c>
      <c r="I13" s="11">
        <f t="shared" si="1"/>
        <v>894</v>
      </c>
      <c r="J13" t="str">
        <f t="shared" si="2"/>
        <v>INACTIVE</v>
      </c>
      <c r="K13">
        <f t="shared" si="3"/>
        <v>1</v>
      </c>
      <c r="L13" s="22">
        <f t="shared" si="4"/>
        <v>45256</v>
      </c>
      <c r="M13" s="22"/>
    </row>
    <row r="14" spans="1:13" x14ac:dyDescent="0.2">
      <c r="A14" t="s">
        <v>691</v>
      </c>
      <c r="B14" t="s">
        <v>724</v>
      </c>
      <c r="C14" t="s">
        <v>604</v>
      </c>
      <c r="D14" s="22">
        <v>45138</v>
      </c>
      <c r="E14" s="22">
        <v>46070</v>
      </c>
      <c r="F14">
        <v>11</v>
      </c>
      <c r="G14" s="5">
        <v>8645739.5399999991</v>
      </c>
      <c r="H14">
        <f t="shared" si="0"/>
        <v>785976.32181818178</v>
      </c>
      <c r="I14" s="11">
        <f t="shared" si="1"/>
        <v>80</v>
      </c>
      <c r="J14" t="str">
        <f t="shared" si="2"/>
        <v>ACTIVE</v>
      </c>
      <c r="K14">
        <f t="shared" si="3"/>
        <v>0</v>
      </c>
      <c r="L14" s="22" t="str">
        <f t="shared" si="4"/>
        <v xml:space="preserve"> </v>
      </c>
      <c r="M14" s="22"/>
    </row>
    <row r="15" spans="1:13" x14ac:dyDescent="0.2">
      <c r="A15" t="s">
        <v>690</v>
      </c>
      <c r="B15" t="s">
        <v>723</v>
      </c>
      <c r="C15" t="s">
        <v>604</v>
      </c>
      <c r="D15" s="22">
        <v>45520</v>
      </c>
      <c r="E15" s="22">
        <v>46133</v>
      </c>
      <c r="F15">
        <v>28</v>
      </c>
      <c r="G15" s="5">
        <v>8052800</v>
      </c>
      <c r="H15">
        <f t="shared" si="0"/>
        <v>287600</v>
      </c>
      <c r="I15" s="11">
        <f t="shared" si="1"/>
        <v>17</v>
      </c>
      <c r="J15" t="str">
        <f t="shared" si="2"/>
        <v>ACTIVE</v>
      </c>
      <c r="K15">
        <f t="shared" si="3"/>
        <v>0</v>
      </c>
      <c r="L15" s="22" t="str">
        <f t="shared" si="4"/>
        <v xml:space="preserve"> </v>
      </c>
      <c r="M15" s="22"/>
    </row>
    <row r="16" spans="1:13" x14ac:dyDescent="0.2">
      <c r="A16" t="s">
        <v>689</v>
      </c>
      <c r="B16" t="s">
        <v>83</v>
      </c>
      <c r="C16" t="s">
        <v>688</v>
      </c>
      <c r="D16" s="22">
        <v>45209</v>
      </c>
      <c r="E16" s="22">
        <v>45775</v>
      </c>
      <c r="F16">
        <v>1</v>
      </c>
      <c r="G16" s="5">
        <v>7533000</v>
      </c>
      <c r="H16">
        <f t="shared" si="0"/>
        <v>7533000</v>
      </c>
      <c r="I16" s="11">
        <f t="shared" si="1"/>
        <v>375</v>
      </c>
      <c r="J16" t="str">
        <f t="shared" si="2"/>
        <v>INACTIVE</v>
      </c>
      <c r="K16">
        <f t="shared" si="3"/>
        <v>1</v>
      </c>
      <c r="L16" s="22">
        <f t="shared" si="4"/>
        <v>45775</v>
      </c>
      <c r="M16" s="22"/>
    </row>
    <row r="17" spans="1:13" x14ac:dyDescent="0.2">
      <c r="A17" t="s">
        <v>687</v>
      </c>
      <c r="B17" t="s">
        <v>724</v>
      </c>
      <c r="C17" t="s">
        <v>604</v>
      </c>
      <c r="D17" s="22">
        <v>45786</v>
      </c>
      <c r="E17" s="22">
        <v>46086</v>
      </c>
      <c r="F17">
        <v>6</v>
      </c>
      <c r="G17" s="5">
        <v>7303600</v>
      </c>
      <c r="H17">
        <f t="shared" si="0"/>
        <v>1217266.6666666667</v>
      </c>
      <c r="I17" s="11">
        <f t="shared" si="1"/>
        <v>64</v>
      </c>
      <c r="J17" t="str">
        <f t="shared" si="2"/>
        <v>ACTIVE</v>
      </c>
      <c r="K17">
        <f t="shared" si="3"/>
        <v>0</v>
      </c>
      <c r="L17" s="22" t="str">
        <f t="shared" si="4"/>
        <v xml:space="preserve"> </v>
      </c>
      <c r="M17" s="22"/>
    </row>
    <row r="18" spans="1:13" x14ac:dyDescent="0.2">
      <c r="A18" t="s">
        <v>686</v>
      </c>
      <c r="B18" t="s">
        <v>724</v>
      </c>
      <c r="C18" t="s">
        <v>604</v>
      </c>
      <c r="D18" s="22">
        <v>45729</v>
      </c>
      <c r="E18" s="22">
        <v>45961</v>
      </c>
      <c r="F18">
        <v>24</v>
      </c>
      <c r="G18" s="5">
        <v>6900000</v>
      </c>
      <c r="H18">
        <f t="shared" si="0"/>
        <v>287500</v>
      </c>
      <c r="I18" s="11">
        <f t="shared" si="1"/>
        <v>189</v>
      </c>
      <c r="J18" t="str">
        <f t="shared" si="2"/>
        <v>INACTIVE</v>
      </c>
      <c r="K18">
        <f t="shared" si="3"/>
        <v>1</v>
      </c>
      <c r="L18" s="22">
        <f t="shared" si="4"/>
        <v>45961</v>
      </c>
      <c r="M18" s="22"/>
    </row>
    <row r="19" spans="1:13" x14ac:dyDescent="0.2">
      <c r="A19" t="s">
        <v>685</v>
      </c>
      <c r="B19" t="s">
        <v>724</v>
      </c>
      <c r="C19" t="s">
        <v>604</v>
      </c>
      <c r="D19" s="22">
        <v>44819</v>
      </c>
      <c r="E19" s="22">
        <v>45982</v>
      </c>
      <c r="F19">
        <v>8</v>
      </c>
      <c r="G19" s="5">
        <v>6683000</v>
      </c>
      <c r="H19">
        <f t="shared" si="0"/>
        <v>835375</v>
      </c>
      <c r="I19" s="11">
        <f t="shared" si="1"/>
        <v>168</v>
      </c>
      <c r="J19" t="str">
        <f t="shared" si="2"/>
        <v>ACTIVE</v>
      </c>
      <c r="K19">
        <f t="shared" si="3"/>
        <v>0</v>
      </c>
      <c r="L19" s="22" t="str">
        <f t="shared" si="4"/>
        <v xml:space="preserve"> </v>
      </c>
      <c r="M19" s="22"/>
    </row>
    <row r="20" spans="1:13" x14ac:dyDescent="0.2">
      <c r="A20" t="s">
        <v>684</v>
      </c>
      <c r="B20" t="s">
        <v>724</v>
      </c>
      <c r="C20" t="s">
        <v>604</v>
      </c>
      <c r="D20" s="22">
        <v>44771</v>
      </c>
      <c r="E20" s="22">
        <v>45308</v>
      </c>
      <c r="F20">
        <v>18</v>
      </c>
      <c r="G20" s="5">
        <v>6347655.8099999996</v>
      </c>
      <c r="H20">
        <f t="shared" si="0"/>
        <v>352647.54499999998</v>
      </c>
      <c r="I20" s="11">
        <f t="shared" si="1"/>
        <v>842</v>
      </c>
      <c r="J20" t="str">
        <f t="shared" si="2"/>
        <v>INACTIVE</v>
      </c>
      <c r="K20">
        <f t="shared" si="3"/>
        <v>1</v>
      </c>
      <c r="L20" s="22">
        <f t="shared" si="4"/>
        <v>45308</v>
      </c>
      <c r="M20" s="22"/>
    </row>
    <row r="21" spans="1:13" x14ac:dyDescent="0.2">
      <c r="A21" t="s">
        <v>683</v>
      </c>
      <c r="B21" t="s">
        <v>724</v>
      </c>
      <c r="C21" t="s">
        <v>604</v>
      </c>
      <c r="D21" s="22">
        <v>44676</v>
      </c>
      <c r="E21" s="22">
        <v>45447</v>
      </c>
      <c r="F21">
        <v>11</v>
      </c>
      <c r="G21" s="5">
        <v>6084622.0999999996</v>
      </c>
      <c r="H21">
        <f t="shared" si="0"/>
        <v>553147.46363636362</v>
      </c>
      <c r="I21" s="11">
        <f t="shared" si="1"/>
        <v>703</v>
      </c>
      <c r="J21" t="str">
        <f t="shared" si="2"/>
        <v>INACTIVE</v>
      </c>
      <c r="K21">
        <f t="shared" si="3"/>
        <v>1</v>
      </c>
      <c r="L21" s="22">
        <f t="shared" si="4"/>
        <v>45447</v>
      </c>
      <c r="M21" s="22"/>
    </row>
    <row r="22" spans="1:13" x14ac:dyDescent="0.2">
      <c r="A22" t="s">
        <v>682</v>
      </c>
      <c r="B22" t="s">
        <v>724</v>
      </c>
      <c r="C22" t="s">
        <v>604</v>
      </c>
      <c r="D22" s="22">
        <v>44739</v>
      </c>
      <c r="E22" s="22">
        <v>45617</v>
      </c>
      <c r="F22">
        <v>17</v>
      </c>
      <c r="G22" s="5">
        <v>5690000</v>
      </c>
      <c r="H22">
        <f t="shared" si="0"/>
        <v>334705.8823529412</v>
      </c>
      <c r="I22" s="11">
        <f t="shared" si="1"/>
        <v>533</v>
      </c>
      <c r="J22" t="str">
        <f t="shared" si="2"/>
        <v>INACTIVE</v>
      </c>
      <c r="K22">
        <f t="shared" si="3"/>
        <v>1</v>
      </c>
      <c r="L22" s="22">
        <f t="shared" si="4"/>
        <v>45617</v>
      </c>
      <c r="M22" s="22"/>
    </row>
    <row r="23" spans="1:13" x14ac:dyDescent="0.2">
      <c r="A23" t="s">
        <v>681</v>
      </c>
      <c r="B23" t="s">
        <v>724</v>
      </c>
      <c r="C23" t="s">
        <v>604</v>
      </c>
      <c r="D23" s="22">
        <v>45258</v>
      </c>
      <c r="E23" s="22">
        <v>45961</v>
      </c>
      <c r="F23">
        <v>15</v>
      </c>
      <c r="G23" s="5">
        <v>5685000</v>
      </c>
      <c r="H23">
        <f t="shared" si="0"/>
        <v>379000</v>
      </c>
      <c r="I23" s="11">
        <f t="shared" si="1"/>
        <v>189</v>
      </c>
      <c r="J23" t="str">
        <f t="shared" si="2"/>
        <v>INACTIVE</v>
      </c>
      <c r="K23">
        <f t="shared" si="3"/>
        <v>1</v>
      </c>
      <c r="L23" s="22">
        <f t="shared" si="4"/>
        <v>45961</v>
      </c>
      <c r="M23" s="22"/>
    </row>
    <row r="24" spans="1:13" x14ac:dyDescent="0.2">
      <c r="A24" t="s">
        <v>680</v>
      </c>
      <c r="B24" t="s">
        <v>724</v>
      </c>
      <c r="C24" t="s">
        <v>604</v>
      </c>
      <c r="D24" s="22">
        <v>45224</v>
      </c>
      <c r="E24" s="22">
        <v>45642</v>
      </c>
      <c r="F24">
        <v>22</v>
      </c>
      <c r="G24" s="5">
        <v>5665600</v>
      </c>
      <c r="H24">
        <f t="shared" si="0"/>
        <v>257527.27272727274</v>
      </c>
      <c r="I24" s="11">
        <f t="shared" si="1"/>
        <v>508</v>
      </c>
      <c r="J24" t="str">
        <f t="shared" si="2"/>
        <v>INACTIVE</v>
      </c>
      <c r="K24">
        <f t="shared" si="3"/>
        <v>1</v>
      </c>
      <c r="L24" s="22">
        <f t="shared" si="4"/>
        <v>45642</v>
      </c>
      <c r="M24" s="22"/>
    </row>
    <row r="25" spans="1:13" x14ac:dyDescent="0.2">
      <c r="A25" t="s">
        <v>679</v>
      </c>
      <c r="B25" t="s">
        <v>724</v>
      </c>
      <c r="C25" t="s">
        <v>604</v>
      </c>
      <c r="D25" s="22">
        <v>44940</v>
      </c>
      <c r="E25" s="22">
        <v>46107</v>
      </c>
      <c r="F25">
        <v>2</v>
      </c>
      <c r="G25" s="5">
        <v>5471976.7400000002</v>
      </c>
      <c r="H25">
        <f t="shared" si="0"/>
        <v>2735988.37</v>
      </c>
      <c r="I25" s="11">
        <f t="shared" si="1"/>
        <v>43</v>
      </c>
      <c r="J25" t="str">
        <f t="shared" si="2"/>
        <v>ACTIVE</v>
      </c>
      <c r="K25">
        <f t="shared" si="3"/>
        <v>0</v>
      </c>
      <c r="L25" s="22" t="str">
        <f t="shared" si="4"/>
        <v xml:space="preserve"> </v>
      </c>
      <c r="M25" s="22"/>
    </row>
    <row r="26" spans="1:13" x14ac:dyDescent="0.2">
      <c r="A26" t="s">
        <v>678</v>
      </c>
      <c r="B26" t="s">
        <v>724</v>
      </c>
      <c r="C26" t="s">
        <v>604</v>
      </c>
      <c r="D26" s="22">
        <v>45031</v>
      </c>
      <c r="E26" s="22">
        <v>46112</v>
      </c>
      <c r="F26">
        <v>10</v>
      </c>
      <c r="G26" s="5">
        <v>5296000</v>
      </c>
      <c r="H26">
        <f t="shared" si="0"/>
        <v>529600</v>
      </c>
      <c r="I26" s="11">
        <f t="shared" si="1"/>
        <v>38</v>
      </c>
      <c r="J26" t="str">
        <f t="shared" si="2"/>
        <v>ACTIVE</v>
      </c>
      <c r="K26">
        <f t="shared" si="3"/>
        <v>0</v>
      </c>
      <c r="L26" s="22" t="str">
        <f t="shared" si="4"/>
        <v xml:space="preserve"> </v>
      </c>
      <c r="M26" s="22"/>
    </row>
    <row r="27" spans="1:13" x14ac:dyDescent="0.2">
      <c r="A27" t="s">
        <v>677</v>
      </c>
      <c r="B27" t="s">
        <v>83</v>
      </c>
      <c r="C27" t="s">
        <v>604</v>
      </c>
      <c r="D27" s="22">
        <v>45652</v>
      </c>
      <c r="E27" s="22">
        <v>45909</v>
      </c>
      <c r="F27">
        <v>3</v>
      </c>
      <c r="G27" s="5">
        <v>5200000</v>
      </c>
      <c r="H27">
        <f t="shared" si="0"/>
        <v>1733333.3333333333</v>
      </c>
      <c r="I27" s="11">
        <f t="shared" si="1"/>
        <v>241</v>
      </c>
      <c r="J27" t="str">
        <f t="shared" si="2"/>
        <v>INACTIVE</v>
      </c>
      <c r="K27">
        <f t="shared" si="3"/>
        <v>1</v>
      </c>
      <c r="L27" s="22">
        <f t="shared" si="4"/>
        <v>45909</v>
      </c>
      <c r="M27" s="22"/>
    </row>
    <row r="28" spans="1:13" x14ac:dyDescent="0.2">
      <c r="A28" t="s">
        <v>676</v>
      </c>
      <c r="B28" t="s">
        <v>83</v>
      </c>
      <c r="C28" t="s">
        <v>604</v>
      </c>
      <c r="D28" s="22">
        <v>45491</v>
      </c>
      <c r="E28" s="22">
        <v>46099</v>
      </c>
      <c r="F28">
        <v>6</v>
      </c>
      <c r="G28" s="5">
        <v>5160000</v>
      </c>
      <c r="H28">
        <f t="shared" si="0"/>
        <v>860000</v>
      </c>
      <c r="I28" s="11">
        <f t="shared" si="1"/>
        <v>51</v>
      </c>
      <c r="J28" t="str">
        <f t="shared" si="2"/>
        <v>ACTIVE</v>
      </c>
      <c r="K28">
        <f t="shared" si="3"/>
        <v>0</v>
      </c>
      <c r="L28" s="22" t="str">
        <f t="shared" si="4"/>
        <v xml:space="preserve"> </v>
      </c>
      <c r="M28" s="22"/>
    </row>
    <row r="29" spans="1:13" x14ac:dyDescent="0.2">
      <c r="A29" t="s">
        <v>675</v>
      </c>
      <c r="B29" t="s">
        <v>724</v>
      </c>
      <c r="C29" t="s">
        <v>604</v>
      </c>
      <c r="D29" s="22">
        <v>45526</v>
      </c>
      <c r="E29" s="22">
        <v>45993</v>
      </c>
      <c r="F29">
        <v>23</v>
      </c>
      <c r="G29" s="5">
        <v>5070000</v>
      </c>
      <c r="H29">
        <f t="shared" si="0"/>
        <v>220434.78260869565</v>
      </c>
      <c r="I29" s="11">
        <f t="shared" si="1"/>
        <v>157</v>
      </c>
      <c r="J29" t="str">
        <f t="shared" si="2"/>
        <v>ACTIVE</v>
      </c>
      <c r="K29">
        <f t="shared" si="3"/>
        <v>0</v>
      </c>
      <c r="L29" s="22" t="str">
        <f t="shared" si="4"/>
        <v xml:space="preserve"> </v>
      </c>
      <c r="M29" s="22"/>
    </row>
    <row r="30" spans="1:13" x14ac:dyDescent="0.2">
      <c r="A30" t="s">
        <v>674</v>
      </c>
      <c r="B30" t="s">
        <v>83</v>
      </c>
      <c r="C30" t="s">
        <v>604</v>
      </c>
      <c r="D30" s="22">
        <v>44665</v>
      </c>
      <c r="E30" s="22">
        <v>45218</v>
      </c>
      <c r="F30">
        <v>4</v>
      </c>
      <c r="G30" s="5">
        <v>5032000</v>
      </c>
      <c r="H30">
        <f t="shared" si="0"/>
        <v>1258000</v>
      </c>
      <c r="I30" s="11">
        <f t="shared" si="1"/>
        <v>932</v>
      </c>
      <c r="J30" t="str">
        <f t="shared" si="2"/>
        <v>INACTIVE</v>
      </c>
      <c r="K30">
        <f t="shared" si="3"/>
        <v>1</v>
      </c>
      <c r="L30" s="22">
        <f t="shared" si="4"/>
        <v>45218</v>
      </c>
      <c r="M30" s="22"/>
    </row>
    <row r="31" spans="1:13" x14ac:dyDescent="0.2">
      <c r="A31" t="s">
        <v>673</v>
      </c>
      <c r="B31" t="s">
        <v>724</v>
      </c>
      <c r="C31" t="s">
        <v>604</v>
      </c>
      <c r="D31" s="22">
        <v>44943</v>
      </c>
      <c r="E31" s="25">
        <v>45975</v>
      </c>
      <c r="F31">
        <v>2</v>
      </c>
      <c r="G31" s="5">
        <v>480000</v>
      </c>
      <c r="H31">
        <f t="shared" si="0"/>
        <v>240000</v>
      </c>
      <c r="I31" s="11">
        <f t="shared" si="1"/>
        <v>175</v>
      </c>
      <c r="J31" t="str">
        <f t="shared" si="2"/>
        <v>ACTIVE</v>
      </c>
      <c r="K31">
        <f t="shared" si="3"/>
        <v>0</v>
      </c>
      <c r="L31" s="22" t="str">
        <f t="shared" si="4"/>
        <v xml:space="preserve"> </v>
      </c>
      <c r="M31" s="22"/>
    </row>
    <row r="32" spans="1:13" x14ac:dyDescent="0.2">
      <c r="A32" t="s">
        <v>672</v>
      </c>
      <c r="B32" t="s">
        <v>724</v>
      </c>
      <c r="C32" t="s">
        <v>604</v>
      </c>
      <c r="D32" s="22">
        <v>44833</v>
      </c>
      <c r="E32" s="22">
        <v>45239</v>
      </c>
      <c r="F32">
        <v>2</v>
      </c>
      <c r="G32" s="5">
        <v>476800</v>
      </c>
      <c r="H32">
        <f t="shared" si="0"/>
        <v>238400</v>
      </c>
      <c r="I32" s="11">
        <f t="shared" si="1"/>
        <v>911</v>
      </c>
      <c r="J32" t="str">
        <f t="shared" si="2"/>
        <v>INACTIVE</v>
      </c>
      <c r="K32">
        <f t="shared" si="3"/>
        <v>1</v>
      </c>
      <c r="L32" s="22">
        <f t="shared" si="4"/>
        <v>45239</v>
      </c>
      <c r="M32" s="22"/>
    </row>
    <row r="33" spans="1:13" x14ac:dyDescent="0.2">
      <c r="A33" t="s">
        <v>671</v>
      </c>
      <c r="B33" t="s">
        <v>83</v>
      </c>
      <c r="C33" t="s">
        <v>604</v>
      </c>
      <c r="D33" s="22">
        <v>45147</v>
      </c>
      <c r="E33" s="22">
        <v>45303</v>
      </c>
      <c r="F33">
        <v>1</v>
      </c>
      <c r="G33" s="5">
        <v>470587.5</v>
      </c>
      <c r="H33">
        <f t="shared" si="0"/>
        <v>470587.5</v>
      </c>
      <c r="I33" s="11">
        <f t="shared" si="1"/>
        <v>847</v>
      </c>
      <c r="J33" t="str">
        <f t="shared" si="2"/>
        <v>INACTIVE</v>
      </c>
      <c r="K33">
        <f t="shared" si="3"/>
        <v>1</v>
      </c>
      <c r="L33" s="22">
        <f t="shared" si="4"/>
        <v>45303</v>
      </c>
      <c r="M33" s="22"/>
    </row>
    <row r="34" spans="1:13" x14ac:dyDescent="0.2">
      <c r="A34" t="s">
        <v>670</v>
      </c>
      <c r="B34" t="s">
        <v>83</v>
      </c>
      <c r="C34" t="s">
        <v>688</v>
      </c>
      <c r="D34" s="22">
        <v>45303</v>
      </c>
      <c r="E34" s="22">
        <v>45244</v>
      </c>
      <c r="F34">
        <v>2</v>
      </c>
      <c r="G34" s="5">
        <v>467200</v>
      </c>
      <c r="H34">
        <f t="shared" si="0"/>
        <v>233600</v>
      </c>
      <c r="I34" s="11">
        <f t="shared" si="1"/>
        <v>906</v>
      </c>
      <c r="J34" t="str">
        <f t="shared" si="2"/>
        <v>INACTIVE</v>
      </c>
      <c r="K34">
        <f t="shared" si="3"/>
        <v>1</v>
      </c>
      <c r="L34" s="22">
        <f t="shared" si="4"/>
        <v>45244</v>
      </c>
      <c r="M34" s="22"/>
    </row>
    <row r="35" spans="1:13" x14ac:dyDescent="0.2">
      <c r="A35" t="s">
        <v>669</v>
      </c>
      <c r="B35" t="s">
        <v>725</v>
      </c>
      <c r="C35" t="s">
        <v>604</v>
      </c>
      <c r="D35" s="22">
        <v>45003</v>
      </c>
      <c r="E35" s="22">
        <v>45681</v>
      </c>
      <c r="F35">
        <v>2</v>
      </c>
      <c r="G35" s="5">
        <v>467200</v>
      </c>
      <c r="H35">
        <f t="shared" si="0"/>
        <v>233600</v>
      </c>
      <c r="I35" s="11">
        <f t="shared" si="1"/>
        <v>469</v>
      </c>
      <c r="J35" t="str">
        <f t="shared" si="2"/>
        <v>INACTIVE</v>
      </c>
      <c r="K35">
        <f t="shared" si="3"/>
        <v>1</v>
      </c>
      <c r="L35" s="22">
        <f t="shared" si="4"/>
        <v>45681</v>
      </c>
      <c r="M35" s="22"/>
    </row>
    <row r="36" spans="1:13" x14ac:dyDescent="0.2">
      <c r="A36" t="s">
        <v>668</v>
      </c>
      <c r="B36" t="s">
        <v>83</v>
      </c>
      <c r="C36" t="s">
        <v>604</v>
      </c>
      <c r="D36" s="22">
        <v>44940</v>
      </c>
      <c r="E36" s="22">
        <v>45070</v>
      </c>
      <c r="F36">
        <v>1</v>
      </c>
      <c r="G36" s="5">
        <v>460800</v>
      </c>
      <c r="H36">
        <f t="shared" si="0"/>
        <v>460800</v>
      </c>
      <c r="I36" s="11">
        <f t="shared" si="1"/>
        <v>1080</v>
      </c>
      <c r="J36" t="str">
        <f t="shared" si="2"/>
        <v>INACTIVE</v>
      </c>
      <c r="K36">
        <f t="shared" si="3"/>
        <v>1</v>
      </c>
      <c r="L36" s="22">
        <f t="shared" si="4"/>
        <v>45070</v>
      </c>
      <c r="M36" s="22"/>
    </row>
    <row r="37" spans="1:13" x14ac:dyDescent="0.2">
      <c r="A37" t="s">
        <v>667</v>
      </c>
      <c r="B37" t="s">
        <v>723</v>
      </c>
      <c r="C37" t="s">
        <v>604</v>
      </c>
      <c r="D37" s="22">
        <v>45070</v>
      </c>
      <c r="E37" s="22">
        <v>45045</v>
      </c>
      <c r="F37">
        <v>1</v>
      </c>
      <c r="G37" s="5">
        <v>460800</v>
      </c>
      <c r="H37">
        <f t="shared" si="0"/>
        <v>460800</v>
      </c>
      <c r="I37" s="11">
        <f t="shared" si="1"/>
        <v>1105</v>
      </c>
      <c r="J37" t="str">
        <f t="shared" si="2"/>
        <v>INACTIVE</v>
      </c>
      <c r="K37">
        <f t="shared" si="3"/>
        <v>1</v>
      </c>
      <c r="L37" s="22">
        <f t="shared" si="4"/>
        <v>45045</v>
      </c>
      <c r="M37" s="22"/>
    </row>
    <row r="38" spans="1:13" x14ac:dyDescent="0.2">
      <c r="A38" t="s">
        <v>666</v>
      </c>
      <c r="B38" t="s">
        <v>83</v>
      </c>
      <c r="C38" t="s">
        <v>604</v>
      </c>
      <c r="D38" s="22">
        <v>45045</v>
      </c>
      <c r="E38" s="22">
        <v>45561</v>
      </c>
      <c r="F38">
        <v>2</v>
      </c>
      <c r="G38" s="5">
        <v>460000</v>
      </c>
      <c r="H38">
        <f t="shared" si="0"/>
        <v>230000</v>
      </c>
      <c r="I38" s="11">
        <f t="shared" si="1"/>
        <v>589</v>
      </c>
      <c r="J38" t="str">
        <f t="shared" si="2"/>
        <v>INACTIVE</v>
      </c>
      <c r="K38">
        <f t="shared" si="3"/>
        <v>1</v>
      </c>
      <c r="L38" s="22">
        <f t="shared" si="4"/>
        <v>45561</v>
      </c>
      <c r="M38" s="22"/>
    </row>
    <row r="39" spans="1:13" x14ac:dyDescent="0.2">
      <c r="A39" t="s">
        <v>665</v>
      </c>
      <c r="B39" t="s">
        <v>83</v>
      </c>
      <c r="C39" t="s">
        <v>604</v>
      </c>
      <c r="D39" s="22">
        <v>45534</v>
      </c>
      <c r="E39" s="22">
        <v>45517</v>
      </c>
      <c r="F39">
        <v>1</v>
      </c>
      <c r="G39" s="5">
        <v>460000</v>
      </c>
      <c r="H39">
        <f t="shared" si="0"/>
        <v>460000</v>
      </c>
      <c r="I39" s="11">
        <f t="shared" si="1"/>
        <v>633</v>
      </c>
      <c r="J39" t="str">
        <f t="shared" si="2"/>
        <v>INACTIVE</v>
      </c>
      <c r="K39">
        <f t="shared" si="3"/>
        <v>1</v>
      </c>
      <c r="L39" s="22">
        <f t="shared" si="4"/>
        <v>45517</v>
      </c>
      <c r="M39" s="22"/>
    </row>
    <row r="40" spans="1:13" x14ac:dyDescent="0.2">
      <c r="A40" t="s">
        <v>664</v>
      </c>
      <c r="B40" t="s">
        <v>726</v>
      </c>
      <c r="C40" t="s">
        <v>604</v>
      </c>
      <c r="D40" s="22">
        <v>45517</v>
      </c>
      <c r="E40" s="22">
        <v>45568</v>
      </c>
      <c r="F40">
        <v>2</v>
      </c>
      <c r="G40" s="5">
        <v>460000</v>
      </c>
      <c r="H40">
        <f t="shared" si="0"/>
        <v>230000</v>
      </c>
      <c r="I40" s="11">
        <f t="shared" si="1"/>
        <v>582</v>
      </c>
      <c r="J40" t="str">
        <f t="shared" si="2"/>
        <v>INACTIVE</v>
      </c>
      <c r="K40">
        <f t="shared" si="3"/>
        <v>1</v>
      </c>
      <c r="L40" s="22">
        <f t="shared" si="4"/>
        <v>45568</v>
      </c>
      <c r="M40" s="22"/>
    </row>
    <row r="41" spans="1:13" x14ac:dyDescent="0.2">
      <c r="A41" t="s">
        <v>663</v>
      </c>
      <c r="B41" t="s">
        <v>724</v>
      </c>
      <c r="C41" t="s">
        <v>604</v>
      </c>
      <c r="D41" s="22">
        <v>45514</v>
      </c>
      <c r="E41" s="22">
        <v>45493</v>
      </c>
      <c r="F41">
        <v>2</v>
      </c>
      <c r="G41" s="5">
        <v>460000</v>
      </c>
      <c r="H41">
        <f t="shared" si="0"/>
        <v>230000</v>
      </c>
      <c r="I41" s="11">
        <f t="shared" si="1"/>
        <v>657</v>
      </c>
      <c r="J41" t="str">
        <f t="shared" si="2"/>
        <v>INACTIVE</v>
      </c>
      <c r="K41">
        <f t="shared" si="3"/>
        <v>1</v>
      </c>
      <c r="L41" s="22">
        <f t="shared" si="4"/>
        <v>45493</v>
      </c>
      <c r="M41" s="22"/>
    </row>
    <row r="42" spans="1:13" x14ac:dyDescent="0.2">
      <c r="A42" t="s">
        <v>662</v>
      </c>
      <c r="B42" t="s">
        <v>83</v>
      </c>
      <c r="C42" t="s">
        <v>688</v>
      </c>
      <c r="D42" s="22">
        <v>45491</v>
      </c>
      <c r="E42" s="22">
        <v>45572</v>
      </c>
      <c r="F42">
        <v>2</v>
      </c>
      <c r="G42" s="5">
        <v>460000</v>
      </c>
      <c r="H42">
        <f t="shared" si="0"/>
        <v>230000</v>
      </c>
      <c r="I42" s="11">
        <f t="shared" si="1"/>
        <v>578</v>
      </c>
      <c r="J42" t="str">
        <f t="shared" si="2"/>
        <v>INACTIVE</v>
      </c>
      <c r="K42">
        <f t="shared" si="3"/>
        <v>1</v>
      </c>
      <c r="L42" s="22">
        <f t="shared" si="4"/>
        <v>45572</v>
      </c>
      <c r="M42" s="22"/>
    </row>
    <row r="43" spans="1:13" x14ac:dyDescent="0.2">
      <c r="A43" t="s">
        <v>661</v>
      </c>
      <c r="B43" t="s">
        <v>724</v>
      </c>
      <c r="C43" t="s">
        <v>604</v>
      </c>
      <c r="D43" s="22">
        <v>45509</v>
      </c>
      <c r="E43" s="22">
        <v>45945</v>
      </c>
      <c r="F43">
        <v>1</v>
      </c>
      <c r="G43" s="5">
        <v>460000</v>
      </c>
      <c r="H43">
        <f t="shared" si="0"/>
        <v>460000</v>
      </c>
      <c r="I43" s="11">
        <f t="shared" si="1"/>
        <v>205</v>
      </c>
      <c r="J43" t="str">
        <f t="shared" si="2"/>
        <v>INACTIVE</v>
      </c>
      <c r="K43">
        <f t="shared" si="3"/>
        <v>1</v>
      </c>
      <c r="L43" s="22">
        <f t="shared" si="4"/>
        <v>45945</v>
      </c>
      <c r="M43" s="22"/>
    </row>
    <row r="44" spans="1:13" x14ac:dyDescent="0.2">
      <c r="A44" t="s">
        <v>660</v>
      </c>
      <c r="B44" t="s">
        <v>725</v>
      </c>
      <c r="C44" t="s">
        <v>604</v>
      </c>
      <c r="D44" s="22">
        <v>45946</v>
      </c>
      <c r="E44" s="22">
        <v>45514</v>
      </c>
      <c r="F44">
        <v>2</v>
      </c>
      <c r="G44" s="5">
        <v>460000</v>
      </c>
      <c r="H44">
        <f t="shared" si="0"/>
        <v>230000</v>
      </c>
      <c r="I44" s="11">
        <f t="shared" si="1"/>
        <v>636</v>
      </c>
      <c r="J44" t="str">
        <f t="shared" si="2"/>
        <v>INACTIVE</v>
      </c>
      <c r="K44">
        <f t="shared" si="3"/>
        <v>1</v>
      </c>
      <c r="L44" s="22">
        <f t="shared" si="4"/>
        <v>45514</v>
      </c>
      <c r="M44" s="22"/>
    </row>
    <row r="45" spans="1:13" x14ac:dyDescent="0.2">
      <c r="A45" t="s">
        <v>659</v>
      </c>
      <c r="B45" t="s">
        <v>724</v>
      </c>
      <c r="C45" t="s">
        <v>604</v>
      </c>
      <c r="D45" s="22">
        <v>45504</v>
      </c>
      <c r="E45" s="22">
        <v>45922</v>
      </c>
      <c r="F45">
        <v>1</v>
      </c>
      <c r="G45" s="5">
        <v>460000</v>
      </c>
      <c r="H45">
        <f t="shared" si="0"/>
        <v>460000</v>
      </c>
      <c r="I45" s="11">
        <f t="shared" si="1"/>
        <v>228</v>
      </c>
      <c r="J45" t="str">
        <f t="shared" si="2"/>
        <v>INACTIVE</v>
      </c>
      <c r="K45">
        <f t="shared" si="3"/>
        <v>1</v>
      </c>
      <c r="L45" s="22">
        <f t="shared" si="4"/>
        <v>45922</v>
      </c>
      <c r="M45" s="22"/>
    </row>
    <row r="46" spans="1:13" x14ac:dyDescent="0.2">
      <c r="A46" t="s">
        <v>658</v>
      </c>
      <c r="B46" t="s">
        <v>727</v>
      </c>
      <c r="C46" t="s">
        <v>604</v>
      </c>
      <c r="D46" s="22">
        <v>45922</v>
      </c>
      <c r="E46" s="22">
        <v>45477</v>
      </c>
      <c r="F46">
        <v>2</v>
      </c>
      <c r="G46" s="5">
        <v>460000</v>
      </c>
      <c r="H46">
        <f t="shared" si="0"/>
        <v>230000</v>
      </c>
      <c r="I46" s="11">
        <f t="shared" si="1"/>
        <v>673</v>
      </c>
      <c r="J46" t="str">
        <f t="shared" si="2"/>
        <v>INACTIVE</v>
      </c>
      <c r="K46">
        <f t="shared" si="3"/>
        <v>1</v>
      </c>
      <c r="L46" s="22">
        <f t="shared" si="4"/>
        <v>45477</v>
      </c>
      <c r="M46" s="22"/>
    </row>
    <row r="47" spans="1:13" x14ac:dyDescent="0.2">
      <c r="A47" t="s">
        <v>657</v>
      </c>
      <c r="B47" t="s">
        <v>724</v>
      </c>
      <c r="C47" t="s">
        <v>604</v>
      </c>
      <c r="D47" s="22">
        <v>45469</v>
      </c>
      <c r="E47" s="22">
        <v>46030</v>
      </c>
      <c r="F47">
        <v>2</v>
      </c>
      <c r="G47" s="5">
        <v>460000</v>
      </c>
      <c r="H47">
        <f t="shared" si="0"/>
        <v>230000</v>
      </c>
      <c r="I47" s="11">
        <f t="shared" si="1"/>
        <v>120</v>
      </c>
      <c r="J47" t="str">
        <f t="shared" si="2"/>
        <v>ACTIVE</v>
      </c>
      <c r="K47">
        <f t="shared" si="3"/>
        <v>0</v>
      </c>
      <c r="L47" s="22" t="str">
        <f t="shared" si="4"/>
        <v xml:space="preserve"> </v>
      </c>
      <c r="M47" s="22"/>
    </row>
    <row r="48" spans="1:13" x14ac:dyDescent="0.2">
      <c r="A48" t="s">
        <v>656</v>
      </c>
      <c r="B48" t="s">
        <v>724</v>
      </c>
      <c r="C48" t="s">
        <v>604</v>
      </c>
      <c r="D48" s="22">
        <v>45967</v>
      </c>
      <c r="E48" s="22">
        <v>45597</v>
      </c>
      <c r="F48">
        <v>2</v>
      </c>
      <c r="G48" s="5">
        <v>460000</v>
      </c>
      <c r="H48">
        <f t="shared" si="0"/>
        <v>230000</v>
      </c>
      <c r="I48" s="11">
        <f t="shared" si="1"/>
        <v>553</v>
      </c>
      <c r="J48" t="str">
        <f t="shared" si="2"/>
        <v>INACTIVE</v>
      </c>
      <c r="K48">
        <f t="shared" si="3"/>
        <v>1</v>
      </c>
      <c r="L48" s="22">
        <f t="shared" si="4"/>
        <v>45597</v>
      </c>
      <c r="M48" s="22"/>
    </row>
    <row r="49" spans="1:13" x14ac:dyDescent="0.2">
      <c r="A49" t="s">
        <v>655</v>
      </c>
      <c r="B49" t="s">
        <v>724</v>
      </c>
      <c r="C49" t="s">
        <v>604</v>
      </c>
      <c r="D49" s="22">
        <v>45552</v>
      </c>
      <c r="E49" s="22">
        <v>45392</v>
      </c>
      <c r="F49">
        <v>1</v>
      </c>
      <c r="G49" s="5">
        <v>460000</v>
      </c>
      <c r="H49">
        <f t="shared" si="0"/>
        <v>460000</v>
      </c>
      <c r="I49" s="11">
        <f t="shared" si="1"/>
        <v>758</v>
      </c>
      <c r="J49" t="str">
        <f t="shared" si="2"/>
        <v>INACTIVE</v>
      </c>
      <c r="K49">
        <f t="shared" si="3"/>
        <v>1</v>
      </c>
      <c r="L49" s="22">
        <f t="shared" si="4"/>
        <v>45392</v>
      </c>
      <c r="M49" s="22"/>
    </row>
    <row r="50" spans="1:13" x14ac:dyDescent="0.2">
      <c r="A50" t="s">
        <v>654</v>
      </c>
      <c r="B50" t="s">
        <v>724</v>
      </c>
      <c r="C50" t="s">
        <v>604</v>
      </c>
      <c r="D50" s="22">
        <v>45392</v>
      </c>
      <c r="E50" s="22">
        <v>46007</v>
      </c>
      <c r="F50">
        <v>1</v>
      </c>
      <c r="G50" s="5">
        <v>450000</v>
      </c>
      <c r="H50">
        <f t="shared" si="0"/>
        <v>450000</v>
      </c>
      <c r="I50" s="11">
        <f t="shared" si="1"/>
        <v>143</v>
      </c>
      <c r="J50" t="str">
        <f t="shared" si="2"/>
        <v>ACTIVE</v>
      </c>
      <c r="K50">
        <f t="shared" si="3"/>
        <v>0</v>
      </c>
      <c r="L50" s="22" t="str">
        <f t="shared" si="4"/>
        <v xml:space="preserve"> </v>
      </c>
      <c r="M50" s="22"/>
    </row>
    <row r="51" spans="1:13" x14ac:dyDescent="0.2">
      <c r="A51" t="s">
        <v>653</v>
      </c>
      <c r="B51" t="s">
        <v>83</v>
      </c>
      <c r="C51" t="s">
        <v>604</v>
      </c>
      <c r="D51" s="22">
        <v>45954</v>
      </c>
      <c r="E51" s="22">
        <v>45867</v>
      </c>
      <c r="F51">
        <v>1</v>
      </c>
      <c r="G51" s="5">
        <v>450000</v>
      </c>
      <c r="H51">
        <f t="shared" si="0"/>
        <v>450000</v>
      </c>
      <c r="I51" s="11">
        <f t="shared" si="1"/>
        <v>283</v>
      </c>
      <c r="J51" t="str">
        <f t="shared" si="2"/>
        <v>INACTIVE</v>
      </c>
      <c r="K51">
        <f t="shared" si="3"/>
        <v>1</v>
      </c>
      <c r="L51" s="22">
        <f t="shared" si="4"/>
        <v>45867</v>
      </c>
      <c r="M51" s="22"/>
    </row>
    <row r="52" spans="1:13" x14ac:dyDescent="0.2">
      <c r="A52" t="s">
        <v>652</v>
      </c>
      <c r="B52" t="s">
        <v>83</v>
      </c>
      <c r="C52" t="s">
        <v>604</v>
      </c>
      <c r="D52" s="22">
        <v>45867</v>
      </c>
      <c r="E52" s="22">
        <v>45139</v>
      </c>
      <c r="F52">
        <v>2</v>
      </c>
      <c r="G52" s="5">
        <v>448000</v>
      </c>
      <c r="H52">
        <f t="shared" si="0"/>
        <v>224000</v>
      </c>
      <c r="I52" s="11">
        <f t="shared" si="1"/>
        <v>1011</v>
      </c>
      <c r="J52" t="str">
        <f t="shared" si="2"/>
        <v>INACTIVE</v>
      </c>
      <c r="K52">
        <f t="shared" si="3"/>
        <v>1</v>
      </c>
      <c r="L52" s="22">
        <f t="shared" si="4"/>
        <v>45139</v>
      </c>
      <c r="M52" s="22"/>
    </row>
    <row r="53" spans="1:13" x14ac:dyDescent="0.2">
      <c r="A53" t="s">
        <v>651</v>
      </c>
      <c r="B53" t="s">
        <v>723</v>
      </c>
      <c r="C53" t="s">
        <v>688</v>
      </c>
      <c r="D53" s="22">
        <v>44987</v>
      </c>
      <c r="E53" s="22">
        <v>45334</v>
      </c>
      <c r="F53">
        <v>3</v>
      </c>
      <c r="G53" s="5">
        <v>442000</v>
      </c>
      <c r="H53">
        <f t="shared" si="0"/>
        <v>147333.33333333334</v>
      </c>
      <c r="I53" s="11">
        <f t="shared" si="1"/>
        <v>816</v>
      </c>
      <c r="J53" t="str">
        <f t="shared" si="2"/>
        <v>INACTIVE</v>
      </c>
      <c r="K53">
        <f t="shared" si="3"/>
        <v>1</v>
      </c>
      <c r="L53" s="22">
        <f t="shared" si="4"/>
        <v>45334</v>
      </c>
      <c r="M53" s="22"/>
    </row>
    <row r="54" spans="1:13" x14ac:dyDescent="0.2">
      <c r="A54" t="s">
        <v>650</v>
      </c>
      <c r="B54" t="s">
        <v>723</v>
      </c>
      <c r="C54" t="s">
        <v>604</v>
      </c>
      <c r="D54" s="22">
        <v>45015</v>
      </c>
      <c r="E54" s="22">
        <v>45359</v>
      </c>
      <c r="F54">
        <v>1</v>
      </c>
      <c r="G54" s="5">
        <v>441600</v>
      </c>
      <c r="H54">
        <f t="shared" si="0"/>
        <v>441600</v>
      </c>
      <c r="I54" s="11">
        <f t="shared" si="1"/>
        <v>791</v>
      </c>
      <c r="J54" t="str">
        <f t="shared" si="2"/>
        <v>INACTIVE</v>
      </c>
      <c r="K54">
        <f t="shared" si="3"/>
        <v>1</v>
      </c>
      <c r="L54" s="22">
        <f t="shared" si="4"/>
        <v>45359</v>
      </c>
      <c r="M54" s="22"/>
    </row>
    <row r="55" spans="1:13" x14ac:dyDescent="0.2">
      <c r="A55" t="s">
        <v>649</v>
      </c>
      <c r="B55" t="s">
        <v>83</v>
      </c>
      <c r="C55" t="s">
        <v>604</v>
      </c>
      <c r="D55" s="22">
        <v>45359</v>
      </c>
      <c r="E55" s="22">
        <v>45544</v>
      </c>
      <c r="F55">
        <v>1</v>
      </c>
      <c r="G55" s="5">
        <v>441600</v>
      </c>
      <c r="H55">
        <f t="shared" si="0"/>
        <v>441600</v>
      </c>
      <c r="I55" s="11">
        <f t="shared" si="1"/>
        <v>606</v>
      </c>
      <c r="J55" t="str">
        <f t="shared" si="2"/>
        <v>INACTIVE</v>
      </c>
      <c r="K55">
        <f t="shared" si="3"/>
        <v>1</v>
      </c>
      <c r="L55" s="22">
        <f t="shared" si="4"/>
        <v>45544</v>
      </c>
      <c r="M55" s="22"/>
    </row>
    <row r="56" spans="1:13" x14ac:dyDescent="0.2">
      <c r="A56" t="s">
        <v>648</v>
      </c>
      <c r="B56" t="s">
        <v>724</v>
      </c>
      <c r="C56" t="s">
        <v>604</v>
      </c>
      <c r="D56" s="22">
        <v>45544</v>
      </c>
      <c r="E56" s="22">
        <v>45335</v>
      </c>
      <c r="F56">
        <v>1</v>
      </c>
      <c r="G56" s="5">
        <v>441600</v>
      </c>
      <c r="H56">
        <f t="shared" si="0"/>
        <v>441600</v>
      </c>
      <c r="I56" s="11">
        <f t="shared" si="1"/>
        <v>815</v>
      </c>
      <c r="J56" t="str">
        <f t="shared" si="2"/>
        <v>INACTIVE</v>
      </c>
      <c r="K56">
        <f t="shared" si="3"/>
        <v>1</v>
      </c>
      <c r="L56" s="22">
        <f t="shared" si="4"/>
        <v>45335</v>
      </c>
      <c r="M56" s="22"/>
    </row>
    <row r="57" spans="1:13" x14ac:dyDescent="0.2">
      <c r="A57" t="s">
        <v>647</v>
      </c>
      <c r="B57" t="s">
        <v>724</v>
      </c>
      <c r="C57" t="s">
        <v>604</v>
      </c>
      <c r="D57" s="22">
        <v>45335</v>
      </c>
      <c r="E57" s="22">
        <v>46046</v>
      </c>
      <c r="F57">
        <v>1</v>
      </c>
      <c r="G57" s="5">
        <v>441600</v>
      </c>
      <c r="H57">
        <f t="shared" si="0"/>
        <v>441600</v>
      </c>
      <c r="I57" s="11">
        <f t="shared" si="1"/>
        <v>104</v>
      </c>
      <c r="J57" t="str">
        <f t="shared" si="2"/>
        <v>ACTIVE</v>
      </c>
      <c r="K57">
        <f t="shared" si="3"/>
        <v>0</v>
      </c>
      <c r="L57" s="22" t="str">
        <f t="shared" si="4"/>
        <v xml:space="preserve"> </v>
      </c>
      <c r="M57" s="22"/>
    </row>
    <row r="58" spans="1:13" x14ac:dyDescent="0.2">
      <c r="A58" t="s">
        <v>646</v>
      </c>
      <c r="B58" t="s">
        <v>724</v>
      </c>
      <c r="C58" t="s">
        <v>604</v>
      </c>
      <c r="D58" s="22">
        <v>46046</v>
      </c>
      <c r="E58" s="22">
        <v>44942</v>
      </c>
      <c r="F58">
        <v>1</v>
      </c>
      <c r="G58" s="5">
        <v>441000</v>
      </c>
      <c r="H58">
        <f t="shared" si="0"/>
        <v>441000</v>
      </c>
      <c r="I58" s="11">
        <f t="shared" si="1"/>
        <v>1208</v>
      </c>
      <c r="J58" t="str">
        <f t="shared" si="2"/>
        <v>INACTIVE</v>
      </c>
      <c r="K58">
        <f t="shared" si="3"/>
        <v>1</v>
      </c>
      <c r="L58" s="22">
        <f t="shared" si="4"/>
        <v>44942</v>
      </c>
      <c r="M58" s="22"/>
    </row>
    <row r="59" spans="1:13" x14ac:dyDescent="0.2">
      <c r="A59" t="s">
        <v>714</v>
      </c>
      <c r="B59" t="s">
        <v>724</v>
      </c>
      <c r="C59" t="s">
        <v>604</v>
      </c>
      <c r="D59" s="22">
        <v>45786</v>
      </c>
      <c r="E59" s="22">
        <v>45986</v>
      </c>
      <c r="F59">
        <v>6</v>
      </c>
      <c r="G59" s="5">
        <v>1940000</v>
      </c>
      <c r="H59">
        <f t="shared" si="0"/>
        <v>323333.33333333331</v>
      </c>
      <c r="I59" s="11">
        <f t="shared" si="1"/>
        <v>164</v>
      </c>
      <c r="J59" t="str">
        <f t="shared" si="2"/>
        <v>ACTIVE</v>
      </c>
      <c r="K59">
        <f t="shared" si="3"/>
        <v>0</v>
      </c>
      <c r="L59" s="22" t="str">
        <f t="shared" si="4"/>
        <v xml:space="preserve"> </v>
      </c>
      <c r="M59" s="22"/>
    </row>
    <row r="60" spans="1:13" x14ac:dyDescent="0.2">
      <c r="A60" t="s">
        <v>645</v>
      </c>
      <c r="B60" t="s">
        <v>723</v>
      </c>
      <c r="C60" t="s">
        <v>604</v>
      </c>
      <c r="D60" s="22">
        <v>45111</v>
      </c>
      <c r="E60" s="22">
        <v>45644</v>
      </c>
      <c r="F60">
        <v>2</v>
      </c>
      <c r="G60" s="5">
        <v>440000</v>
      </c>
      <c r="H60">
        <f t="shared" si="0"/>
        <v>220000</v>
      </c>
      <c r="I60" s="11">
        <f t="shared" si="1"/>
        <v>506</v>
      </c>
      <c r="J60" t="str">
        <f t="shared" si="2"/>
        <v>INACTIVE</v>
      </c>
      <c r="K60">
        <f t="shared" si="3"/>
        <v>1</v>
      </c>
      <c r="L60" s="22">
        <f t="shared" si="4"/>
        <v>45644</v>
      </c>
      <c r="M60" s="22"/>
    </row>
    <row r="61" spans="1:13" x14ac:dyDescent="0.2">
      <c r="A61" t="s">
        <v>644</v>
      </c>
      <c r="B61" t="s">
        <v>724</v>
      </c>
      <c r="C61" t="s">
        <v>604</v>
      </c>
      <c r="D61" s="22">
        <v>45177</v>
      </c>
      <c r="E61" s="22">
        <v>45607</v>
      </c>
      <c r="F61">
        <v>2</v>
      </c>
      <c r="G61" s="5">
        <v>440000</v>
      </c>
      <c r="H61">
        <f t="shared" si="0"/>
        <v>220000</v>
      </c>
      <c r="I61" s="11">
        <f t="shared" si="1"/>
        <v>543</v>
      </c>
      <c r="J61" t="str">
        <f t="shared" si="2"/>
        <v>INACTIVE</v>
      </c>
      <c r="K61">
        <f t="shared" si="3"/>
        <v>1</v>
      </c>
      <c r="L61" s="22">
        <f t="shared" si="4"/>
        <v>45607</v>
      </c>
      <c r="M61" s="22"/>
    </row>
    <row r="62" spans="1:13" x14ac:dyDescent="0.2">
      <c r="A62" t="s">
        <v>643</v>
      </c>
      <c r="B62" t="s">
        <v>83</v>
      </c>
      <c r="C62" t="s">
        <v>604</v>
      </c>
      <c r="D62" s="22">
        <v>44777</v>
      </c>
      <c r="E62" s="22">
        <v>45624</v>
      </c>
      <c r="F62">
        <v>2</v>
      </c>
      <c r="G62" s="5">
        <v>440000</v>
      </c>
      <c r="H62">
        <f t="shared" si="0"/>
        <v>220000</v>
      </c>
      <c r="I62" s="11">
        <f t="shared" si="1"/>
        <v>526</v>
      </c>
      <c r="J62" t="str">
        <f t="shared" si="2"/>
        <v>INACTIVE</v>
      </c>
      <c r="K62">
        <f t="shared" si="3"/>
        <v>1</v>
      </c>
      <c r="L62" s="22">
        <f t="shared" si="4"/>
        <v>45624</v>
      </c>
      <c r="M62" s="22"/>
    </row>
    <row r="63" spans="1:13" x14ac:dyDescent="0.2">
      <c r="A63" t="s">
        <v>642</v>
      </c>
      <c r="B63" t="s">
        <v>728</v>
      </c>
      <c r="C63" t="s">
        <v>604</v>
      </c>
      <c r="D63" s="22">
        <v>45082</v>
      </c>
      <c r="E63" s="22">
        <v>45791</v>
      </c>
      <c r="F63">
        <v>2</v>
      </c>
      <c r="G63" s="5">
        <v>440000</v>
      </c>
      <c r="H63">
        <f t="shared" si="0"/>
        <v>220000</v>
      </c>
      <c r="I63" s="11">
        <f t="shared" si="1"/>
        <v>359</v>
      </c>
      <c r="J63" t="str">
        <f t="shared" si="2"/>
        <v>INACTIVE</v>
      </c>
      <c r="K63">
        <f t="shared" si="3"/>
        <v>1</v>
      </c>
      <c r="L63" s="22">
        <f t="shared" si="4"/>
        <v>45791</v>
      </c>
      <c r="M63" s="22"/>
    </row>
    <row r="64" spans="1:13" x14ac:dyDescent="0.2">
      <c r="A64" t="s">
        <v>641</v>
      </c>
      <c r="B64" t="s">
        <v>724</v>
      </c>
      <c r="C64" t="s">
        <v>604</v>
      </c>
      <c r="D64" s="22">
        <v>45093</v>
      </c>
      <c r="E64" s="22">
        <v>45570</v>
      </c>
      <c r="F64">
        <v>1</v>
      </c>
      <c r="G64" s="5">
        <v>437000</v>
      </c>
      <c r="H64">
        <f t="shared" si="0"/>
        <v>437000</v>
      </c>
      <c r="I64" s="11">
        <f t="shared" si="1"/>
        <v>580</v>
      </c>
      <c r="J64" t="str">
        <f t="shared" si="2"/>
        <v>INACTIVE</v>
      </c>
      <c r="K64">
        <f t="shared" si="3"/>
        <v>1</v>
      </c>
      <c r="L64" s="22">
        <f t="shared" si="4"/>
        <v>45570</v>
      </c>
      <c r="M64" s="22"/>
    </row>
    <row r="65" spans="1:13" x14ac:dyDescent="0.2">
      <c r="A65" t="s">
        <v>640</v>
      </c>
      <c r="B65" t="s">
        <v>83</v>
      </c>
      <c r="C65" t="s">
        <v>688</v>
      </c>
      <c r="D65" s="22">
        <v>45570</v>
      </c>
      <c r="E65" s="22">
        <v>45238</v>
      </c>
      <c r="F65">
        <v>2</v>
      </c>
      <c r="G65" s="5">
        <v>340000</v>
      </c>
      <c r="H65">
        <f t="shared" si="0"/>
        <v>170000</v>
      </c>
      <c r="I65" s="11">
        <f t="shared" si="1"/>
        <v>912</v>
      </c>
      <c r="J65" t="str">
        <f t="shared" si="2"/>
        <v>INACTIVE</v>
      </c>
      <c r="K65">
        <f t="shared" si="3"/>
        <v>1</v>
      </c>
      <c r="L65" s="22">
        <f t="shared" si="4"/>
        <v>45238</v>
      </c>
      <c r="M65" s="22"/>
    </row>
    <row r="66" spans="1:13" x14ac:dyDescent="0.2">
      <c r="A66" t="s">
        <v>639</v>
      </c>
      <c r="B66" t="s">
        <v>83</v>
      </c>
      <c r="C66" t="s">
        <v>604</v>
      </c>
      <c r="D66" s="22">
        <v>45147</v>
      </c>
      <c r="E66" s="22">
        <v>45282</v>
      </c>
      <c r="F66">
        <v>2</v>
      </c>
      <c r="G66" s="5">
        <v>340000</v>
      </c>
      <c r="H66">
        <f t="shared" si="0"/>
        <v>170000</v>
      </c>
      <c r="I66" s="11">
        <f t="shared" si="1"/>
        <v>868</v>
      </c>
      <c r="J66" t="str">
        <f t="shared" si="2"/>
        <v>INACTIVE</v>
      </c>
      <c r="K66">
        <f t="shared" si="3"/>
        <v>1</v>
      </c>
      <c r="L66" s="22">
        <f t="shared" si="4"/>
        <v>45282</v>
      </c>
      <c r="M66" s="22"/>
    </row>
    <row r="67" spans="1:13" x14ac:dyDescent="0.2">
      <c r="A67" t="s">
        <v>638</v>
      </c>
      <c r="B67" t="s">
        <v>83</v>
      </c>
      <c r="C67" t="s">
        <v>604</v>
      </c>
      <c r="D67" s="22">
        <v>45209</v>
      </c>
      <c r="E67" s="22">
        <v>45217</v>
      </c>
      <c r="F67">
        <v>2</v>
      </c>
      <c r="G67" s="5">
        <v>340000</v>
      </c>
      <c r="H67">
        <f t="shared" ref="H67:H108" si="5">G67/F67</f>
        <v>170000</v>
      </c>
      <c r="I67" s="11">
        <f t="shared" ref="I67:I108" si="6">DATE(2026, 5, 8) - E67</f>
        <v>933</v>
      </c>
      <c r="J67" t="str">
        <f t="shared" ref="J67:J108" si="7">IF((DATE(2026,5,8)-E67)&lt;=180, "ACTIVE", "INACTIVE")</f>
        <v>INACTIVE</v>
      </c>
      <c r="K67">
        <f t="shared" ref="K67:K108" si="8">IF((DATE(2026,5,8)-E67)&gt;180,1,0)</f>
        <v>1</v>
      </c>
      <c r="L67" s="22">
        <f t="shared" ref="L67:L108" si="9">IF((DATE(2026,5,8)-E67)&gt;180,E67," ")</f>
        <v>45217</v>
      </c>
      <c r="M67" s="22"/>
    </row>
    <row r="68" spans="1:13" x14ac:dyDescent="0.2">
      <c r="A68" t="s">
        <v>637</v>
      </c>
      <c r="B68" t="s">
        <v>723</v>
      </c>
      <c r="C68" t="s">
        <v>688</v>
      </c>
      <c r="D68" s="22">
        <v>45205</v>
      </c>
      <c r="E68" s="22">
        <v>45286</v>
      </c>
      <c r="F68">
        <v>2</v>
      </c>
      <c r="G68" s="5">
        <v>340000</v>
      </c>
      <c r="H68">
        <f t="shared" si="5"/>
        <v>170000</v>
      </c>
      <c r="I68" s="11">
        <f t="shared" si="6"/>
        <v>864</v>
      </c>
      <c r="J68" t="str">
        <f t="shared" si="7"/>
        <v>INACTIVE</v>
      </c>
      <c r="K68">
        <f t="shared" si="8"/>
        <v>1</v>
      </c>
      <c r="L68" s="22">
        <f t="shared" si="9"/>
        <v>45286</v>
      </c>
      <c r="M68" s="22"/>
    </row>
    <row r="69" spans="1:13" x14ac:dyDescent="0.2">
      <c r="A69" t="s">
        <v>636</v>
      </c>
      <c r="B69" t="s">
        <v>83</v>
      </c>
      <c r="C69" t="s">
        <v>604</v>
      </c>
      <c r="D69" s="22">
        <v>44998</v>
      </c>
      <c r="E69" s="22">
        <v>45224</v>
      </c>
      <c r="F69">
        <v>3</v>
      </c>
      <c r="G69" s="5">
        <v>340000</v>
      </c>
      <c r="H69">
        <f t="shared" si="5"/>
        <v>113333.33333333333</v>
      </c>
      <c r="I69" s="11">
        <f t="shared" si="6"/>
        <v>926</v>
      </c>
      <c r="J69" t="str">
        <f t="shared" si="7"/>
        <v>INACTIVE</v>
      </c>
      <c r="K69">
        <f t="shared" si="8"/>
        <v>1</v>
      </c>
      <c r="L69" s="22">
        <f t="shared" si="9"/>
        <v>45224</v>
      </c>
      <c r="M69" s="22"/>
    </row>
    <row r="70" spans="1:13" x14ac:dyDescent="0.2">
      <c r="A70" t="s">
        <v>635</v>
      </c>
      <c r="B70" t="s">
        <v>83</v>
      </c>
      <c r="C70" t="s">
        <v>604</v>
      </c>
      <c r="D70" s="22">
        <v>45208</v>
      </c>
      <c r="E70" s="22">
        <v>46037</v>
      </c>
      <c r="F70">
        <v>1</v>
      </c>
      <c r="G70" s="5">
        <v>330000</v>
      </c>
      <c r="H70">
        <f t="shared" si="5"/>
        <v>330000</v>
      </c>
      <c r="I70" s="11">
        <f t="shared" si="6"/>
        <v>113</v>
      </c>
      <c r="J70" t="str">
        <f t="shared" si="7"/>
        <v>ACTIVE</v>
      </c>
      <c r="K70">
        <f t="shared" si="8"/>
        <v>0</v>
      </c>
      <c r="L70" s="22" t="str">
        <f t="shared" si="9"/>
        <v xml:space="preserve"> </v>
      </c>
      <c r="M70" s="22"/>
    </row>
    <row r="71" spans="1:13" x14ac:dyDescent="0.2">
      <c r="A71" t="s">
        <v>634</v>
      </c>
      <c r="B71" t="s">
        <v>724</v>
      </c>
      <c r="C71" t="s">
        <v>604</v>
      </c>
      <c r="D71" s="22">
        <v>45272</v>
      </c>
      <c r="E71" s="22">
        <v>45513</v>
      </c>
      <c r="F71">
        <v>1</v>
      </c>
      <c r="G71" s="5">
        <v>330000</v>
      </c>
      <c r="H71">
        <f t="shared" si="5"/>
        <v>330000</v>
      </c>
      <c r="I71" s="11">
        <f t="shared" si="6"/>
        <v>637</v>
      </c>
      <c r="J71" t="str">
        <f t="shared" si="7"/>
        <v>INACTIVE</v>
      </c>
      <c r="K71">
        <f t="shared" si="8"/>
        <v>1</v>
      </c>
      <c r="L71" s="22">
        <f t="shared" si="9"/>
        <v>45513</v>
      </c>
      <c r="M71" s="22"/>
    </row>
    <row r="72" spans="1:13" x14ac:dyDescent="0.2">
      <c r="A72" t="s">
        <v>633</v>
      </c>
      <c r="B72" t="s">
        <v>83</v>
      </c>
      <c r="C72" t="s">
        <v>604</v>
      </c>
      <c r="D72" s="22">
        <v>45513</v>
      </c>
      <c r="E72" s="22">
        <v>45550</v>
      </c>
      <c r="F72">
        <v>1</v>
      </c>
      <c r="G72" s="5">
        <v>330000</v>
      </c>
      <c r="H72">
        <f t="shared" si="5"/>
        <v>330000</v>
      </c>
      <c r="I72" s="11">
        <f t="shared" si="6"/>
        <v>600</v>
      </c>
      <c r="J72" t="str">
        <f t="shared" si="7"/>
        <v>INACTIVE</v>
      </c>
      <c r="K72">
        <f t="shared" si="8"/>
        <v>1</v>
      </c>
      <c r="L72" s="22">
        <f t="shared" si="9"/>
        <v>45550</v>
      </c>
      <c r="M72" s="22"/>
    </row>
    <row r="73" spans="1:13" x14ac:dyDescent="0.2">
      <c r="A73" t="s">
        <v>632</v>
      </c>
      <c r="B73" t="s">
        <v>727</v>
      </c>
      <c r="C73" t="s">
        <v>604</v>
      </c>
      <c r="D73" s="22">
        <v>45550</v>
      </c>
      <c r="E73" s="22">
        <v>45082</v>
      </c>
      <c r="F73">
        <v>2</v>
      </c>
      <c r="G73" s="5">
        <v>320000</v>
      </c>
      <c r="H73">
        <f t="shared" si="5"/>
        <v>160000</v>
      </c>
      <c r="I73" s="11">
        <f t="shared" si="6"/>
        <v>1068</v>
      </c>
      <c r="J73" t="str">
        <f t="shared" si="7"/>
        <v>INACTIVE</v>
      </c>
      <c r="K73">
        <f t="shared" si="8"/>
        <v>1</v>
      </c>
      <c r="L73" s="22">
        <f t="shared" si="9"/>
        <v>45082</v>
      </c>
      <c r="M73" s="22"/>
    </row>
    <row r="74" spans="1:13" x14ac:dyDescent="0.2">
      <c r="A74" t="s">
        <v>631</v>
      </c>
      <c r="B74" t="s">
        <v>83</v>
      </c>
      <c r="C74" t="s">
        <v>688</v>
      </c>
      <c r="D74" s="22">
        <v>45065</v>
      </c>
      <c r="E74" s="22">
        <v>45218</v>
      </c>
      <c r="F74">
        <v>2</v>
      </c>
      <c r="G74" s="5">
        <v>320000</v>
      </c>
      <c r="H74">
        <f t="shared" si="5"/>
        <v>160000</v>
      </c>
      <c r="I74" s="11">
        <f t="shared" si="6"/>
        <v>932</v>
      </c>
      <c r="J74" t="str">
        <f t="shared" si="7"/>
        <v>INACTIVE</v>
      </c>
      <c r="K74">
        <f t="shared" si="8"/>
        <v>1</v>
      </c>
      <c r="L74" s="22">
        <f t="shared" si="9"/>
        <v>45218</v>
      </c>
      <c r="M74" s="22"/>
    </row>
    <row r="75" spans="1:13" x14ac:dyDescent="0.2">
      <c r="A75" t="s">
        <v>630</v>
      </c>
      <c r="B75" t="s">
        <v>724</v>
      </c>
      <c r="C75" t="s">
        <v>604</v>
      </c>
      <c r="D75" s="22">
        <v>45050</v>
      </c>
      <c r="E75" s="22">
        <v>45472</v>
      </c>
      <c r="F75">
        <v>1</v>
      </c>
      <c r="G75" s="5">
        <v>320000</v>
      </c>
      <c r="H75">
        <f t="shared" si="5"/>
        <v>320000</v>
      </c>
      <c r="I75" s="11">
        <f t="shared" si="6"/>
        <v>678</v>
      </c>
      <c r="J75" t="str">
        <f t="shared" si="7"/>
        <v>INACTIVE</v>
      </c>
      <c r="K75">
        <f t="shared" si="8"/>
        <v>1</v>
      </c>
      <c r="L75" s="22">
        <f t="shared" si="9"/>
        <v>45472</v>
      </c>
      <c r="M75" s="22"/>
    </row>
    <row r="76" spans="1:13" x14ac:dyDescent="0.2">
      <c r="A76" t="s">
        <v>629</v>
      </c>
      <c r="B76" t="s">
        <v>83</v>
      </c>
      <c r="C76" t="s">
        <v>688</v>
      </c>
      <c r="D76" s="22">
        <v>44974</v>
      </c>
      <c r="E76" s="22">
        <v>45797</v>
      </c>
      <c r="F76">
        <v>1</v>
      </c>
      <c r="G76" s="5">
        <v>320000</v>
      </c>
      <c r="H76">
        <f t="shared" si="5"/>
        <v>320000</v>
      </c>
      <c r="I76" s="11">
        <f t="shared" si="6"/>
        <v>353</v>
      </c>
      <c r="J76" t="str">
        <f t="shared" si="7"/>
        <v>INACTIVE</v>
      </c>
      <c r="K76">
        <f t="shared" si="8"/>
        <v>1</v>
      </c>
      <c r="L76" s="22">
        <f t="shared" si="9"/>
        <v>45797</v>
      </c>
      <c r="M76" s="22"/>
    </row>
    <row r="77" spans="1:13" x14ac:dyDescent="0.2">
      <c r="A77" t="s">
        <v>628</v>
      </c>
      <c r="B77" t="s">
        <v>727</v>
      </c>
      <c r="C77" t="s">
        <v>604</v>
      </c>
      <c r="D77" s="22">
        <v>45797</v>
      </c>
      <c r="E77" s="22">
        <v>44991</v>
      </c>
      <c r="F77">
        <v>2</v>
      </c>
      <c r="G77" s="5">
        <v>320000</v>
      </c>
      <c r="H77">
        <f t="shared" si="5"/>
        <v>160000</v>
      </c>
      <c r="I77" s="11">
        <f t="shared" si="6"/>
        <v>1159</v>
      </c>
      <c r="J77" t="str">
        <f t="shared" si="7"/>
        <v>INACTIVE</v>
      </c>
      <c r="K77">
        <f t="shared" si="8"/>
        <v>1</v>
      </c>
      <c r="L77" s="22">
        <f t="shared" si="9"/>
        <v>44991</v>
      </c>
      <c r="M77" s="22"/>
    </row>
    <row r="78" spans="1:13" x14ac:dyDescent="0.2">
      <c r="A78" t="s">
        <v>627</v>
      </c>
      <c r="B78" t="s">
        <v>83</v>
      </c>
      <c r="C78" t="s">
        <v>604</v>
      </c>
      <c r="D78" s="22">
        <v>44950</v>
      </c>
      <c r="E78" s="22">
        <v>45199</v>
      </c>
      <c r="F78">
        <v>2</v>
      </c>
      <c r="G78" s="5">
        <v>320000</v>
      </c>
      <c r="H78">
        <f t="shared" si="5"/>
        <v>160000</v>
      </c>
      <c r="I78" s="11">
        <f t="shared" si="6"/>
        <v>951</v>
      </c>
      <c r="J78" t="str">
        <f t="shared" si="7"/>
        <v>INACTIVE</v>
      </c>
      <c r="K78">
        <f t="shared" si="8"/>
        <v>1</v>
      </c>
      <c r="L78" s="22">
        <f t="shared" si="9"/>
        <v>45199</v>
      </c>
      <c r="M78" s="22"/>
    </row>
    <row r="79" spans="1:13" x14ac:dyDescent="0.2">
      <c r="A79" t="s">
        <v>626</v>
      </c>
      <c r="B79" t="s">
        <v>83</v>
      </c>
      <c r="C79" t="s">
        <v>688</v>
      </c>
      <c r="D79" s="22">
        <v>45190</v>
      </c>
      <c r="E79" s="22">
        <v>45841</v>
      </c>
      <c r="F79">
        <v>1</v>
      </c>
      <c r="G79" s="5">
        <v>320000</v>
      </c>
      <c r="H79">
        <f t="shared" si="5"/>
        <v>320000</v>
      </c>
      <c r="I79" s="11">
        <f t="shared" si="6"/>
        <v>309</v>
      </c>
      <c r="J79" t="str">
        <f t="shared" si="7"/>
        <v>INACTIVE</v>
      </c>
      <c r="K79">
        <f t="shared" si="8"/>
        <v>1</v>
      </c>
      <c r="L79" s="22">
        <f t="shared" si="9"/>
        <v>45841</v>
      </c>
      <c r="M79" s="22"/>
    </row>
    <row r="80" spans="1:13" x14ac:dyDescent="0.2">
      <c r="A80" t="s">
        <v>625</v>
      </c>
      <c r="B80" t="s">
        <v>83</v>
      </c>
      <c r="C80" t="s">
        <v>604</v>
      </c>
      <c r="D80" s="22">
        <v>45841</v>
      </c>
      <c r="E80" s="22">
        <v>45944</v>
      </c>
      <c r="F80">
        <v>16</v>
      </c>
      <c r="G80" s="5">
        <v>4140000</v>
      </c>
      <c r="H80">
        <f t="shared" si="5"/>
        <v>258750</v>
      </c>
      <c r="I80" s="11">
        <f t="shared" si="6"/>
        <v>206</v>
      </c>
      <c r="J80" t="str">
        <f t="shared" si="7"/>
        <v>INACTIVE</v>
      </c>
      <c r="K80">
        <f t="shared" si="8"/>
        <v>1</v>
      </c>
      <c r="L80" s="22">
        <f t="shared" si="9"/>
        <v>45944</v>
      </c>
      <c r="M80" s="22"/>
    </row>
    <row r="81" spans="1:13" x14ac:dyDescent="0.2">
      <c r="A81" t="s">
        <v>624</v>
      </c>
      <c r="B81" t="s">
        <v>83</v>
      </c>
      <c r="C81" t="s">
        <v>604</v>
      </c>
      <c r="D81" s="22">
        <v>45628</v>
      </c>
      <c r="E81" s="22">
        <v>45999</v>
      </c>
      <c r="F81">
        <v>10</v>
      </c>
      <c r="G81" s="5">
        <v>4070000</v>
      </c>
      <c r="H81">
        <f t="shared" si="5"/>
        <v>407000</v>
      </c>
      <c r="I81" s="11">
        <f t="shared" si="6"/>
        <v>151</v>
      </c>
      <c r="J81" t="str">
        <f t="shared" si="7"/>
        <v>ACTIVE</v>
      </c>
      <c r="K81">
        <f t="shared" si="8"/>
        <v>0</v>
      </c>
      <c r="L81" s="22" t="str">
        <f t="shared" si="9"/>
        <v xml:space="preserve"> </v>
      </c>
      <c r="M81" s="22"/>
    </row>
    <row r="82" spans="1:13" x14ac:dyDescent="0.2">
      <c r="A82" t="s">
        <v>623</v>
      </c>
      <c r="B82" t="s">
        <v>83</v>
      </c>
      <c r="C82" t="s">
        <v>604</v>
      </c>
      <c r="D82" s="22">
        <v>45244</v>
      </c>
      <c r="E82" s="22">
        <v>45561</v>
      </c>
      <c r="F82">
        <v>3</v>
      </c>
      <c r="G82" s="5">
        <v>4030000</v>
      </c>
      <c r="H82">
        <f>G82/F82</f>
        <v>1343333.3333333333</v>
      </c>
      <c r="I82" s="11">
        <f t="shared" si="6"/>
        <v>589</v>
      </c>
      <c r="J82" t="str">
        <f t="shared" si="7"/>
        <v>INACTIVE</v>
      </c>
      <c r="K82">
        <f t="shared" si="8"/>
        <v>1</v>
      </c>
      <c r="L82" s="22">
        <f t="shared" si="9"/>
        <v>45561</v>
      </c>
      <c r="M82" s="22"/>
    </row>
    <row r="83" spans="1:13" x14ac:dyDescent="0.2">
      <c r="A83" t="s">
        <v>622</v>
      </c>
      <c r="B83" t="s">
        <v>83</v>
      </c>
      <c r="C83" t="s">
        <v>604</v>
      </c>
      <c r="D83" s="22">
        <v>44814</v>
      </c>
      <c r="E83" s="22">
        <v>45680</v>
      </c>
      <c r="F83">
        <v>3</v>
      </c>
      <c r="G83" s="5">
        <v>4020800</v>
      </c>
      <c r="H83">
        <f>G83/F83</f>
        <v>1340266.6666666667</v>
      </c>
      <c r="I83" s="11">
        <f t="shared" si="6"/>
        <v>470</v>
      </c>
      <c r="J83" t="str">
        <f t="shared" si="7"/>
        <v>INACTIVE</v>
      </c>
      <c r="K83">
        <f t="shared" si="8"/>
        <v>1</v>
      </c>
      <c r="L83" s="22">
        <f t="shared" si="9"/>
        <v>45680</v>
      </c>
      <c r="M83" s="22"/>
    </row>
    <row r="84" spans="1:13" x14ac:dyDescent="0.2">
      <c r="A84" t="s">
        <v>621</v>
      </c>
      <c r="B84" t="s">
        <v>83</v>
      </c>
      <c r="C84" t="s">
        <v>604</v>
      </c>
      <c r="D84" s="22">
        <v>45498</v>
      </c>
      <c r="E84" s="22">
        <v>45691</v>
      </c>
      <c r="F84">
        <v>13</v>
      </c>
      <c r="G84" s="5">
        <v>3992000</v>
      </c>
      <c r="H84">
        <f t="shared" si="5"/>
        <v>307076.92307692306</v>
      </c>
      <c r="I84" s="11">
        <f t="shared" si="6"/>
        <v>459</v>
      </c>
      <c r="J84" t="str">
        <f t="shared" si="7"/>
        <v>INACTIVE</v>
      </c>
      <c r="K84">
        <f t="shared" si="8"/>
        <v>1</v>
      </c>
      <c r="L84" s="22">
        <f t="shared" si="9"/>
        <v>45691</v>
      </c>
      <c r="M84" s="22"/>
    </row>
    <row r="85" spans="1:13" x14ac:dyDescent="0.2">
      <c r="A85" t="s">
        <v>620</v>
      </c>
      <c r="B85" t="s">
        <v>723</v>
      </c>
      <c r="C85" t="s">
        <v>604</v>
      </c>
      <c r="D85" s="22">
        <v>45007</v>
      </c>
      <c r="E85" s="22">
        <v>45943</v>
      </c>
      <c r="F85">
        <v>13</v>
      </c>
      <c r="G85" s="5">
        <v>3950000</v>
      </c>
      <c r="H85">
        <f t="shared" si="5"/>
        <v>303846.15384615387</v>
      </c>
      <c r="I85" s="11">
        <f t="shared" si="6"/>
        <v>207</v>
      </c>
      <c r="J85" t="str">
        <f t="shared" si="7"/>
        <v>INACTIVE</v>
      </c>
      <c r="K85">
        <f t="shared" si="8"/>
        <v>1</v>
      </c>
      <c r="L85" s="22">
        <f t="shared" si="9"/>
        <v>45943</v>
      </c>
      <c r="M85" s="22"/>
    </row>
    <row r="86" spans="1:13" x14ac:dyDescent="0.2">
      <c r="A86" t="s">
        <v>619</v>
      </c>
      <c r="B86" t="s">
        <v>83</v>
      </c>
      <c r="C86" t="s">
        <v>604</v>
      </c>
      <c r="D86" s="22">
        <v>45483</v>
      </c>
      <c r="E86" s="22">
        <v>45978</v>
      </c>
      <c r="F86">
        <v>9</v>
      </c>
      <c r="G86" s="5">
        <v>3820800</v>
      </c>
      <c r="H86">
        <f t="shared" si="5"/>
        <v>424533.33333333331</v>
      </c>
      <c r="I86" s="11">
        <f t="shared" si="6"/>
        <v>172</v>
      </c>
      <c r="J86" t="str">
        <f t="shared" si="7"/>
        <v>ACTIVE</v>
      </c>
      <c r="K86">
        <f t="shared" si="8"/>
        <v>0</v>
      </c>
      <c r="L86" s="22" t="str">
        <f t="shared" si="9"/>
        <v xml:space="preserve"> </v>
      </c>
      <c r="M86" s="22"/>
    </row>
    <row r="87" spans="1:13" x14ac:dyDescent="0.2">
      <c r="A87" t="s">
        <v>618</v>
      </c>
      <c r="B87" t="s">
        <v>83</v>
      </c>
      <c r="C87" t="s">
        <v>604</v>
      </c>
      <c r="D87" s="22">
        <v>45368</v>
      </c>
      <c r="E87" s="22">
        <v>46003</v>
      </c>
      <c r="F87">
        <v>4</v>
      </c>
      <c r="G87" s="5">
        <v>3680000</v>
      </c>
      <c r="H87">
        <f t="shared" si="5"/>
        <v>920000</v>
      </c>
      <c r="I87" s="11">
        <f t="shared" si="6"/>
        <v>147</v>
      </c>
      <c r="J87" t="str">
        <f t="shared" si="7"/>
        <v>ACTIVE</v>
      </c>
      <c r="K87">
        <f t="shared" si="8"/>
        <v>0</v>
      </c>
      <c r="L87" s="22" t="str">
        <f t="shared" si="9"/>
        <v xml:space="preserve"> </v>
      </c>
      <c r="M87" s="22"/>
    </row>
    <row r="88" spans="1:13" x14ac:dyDescent="0.2">
      <c r="A88" t="s">
        <v>617</v>
      </c>
      <c r="B88" t="s">
        <v>728</v>
      </c>
      <c r="C88" t="s">
        <v>604</v>
      </c>
      <c r="D88" s="22">
        <v>45920</v>
      </c>
      <c r="E88" s="22">
        <v>45926</v>
      </c>
      <c r="F88">
        <v>16</v>
      </c>
      <c r="G88" s="5">
        <v>3450000</v>
      </c>
      <c r="H88">
        <f t="shared" si="5"/>
        <v>215625</v>
      </c>
      <c r="I88" s="11">
        <f t="shared" si="6"/>
        <v>224</v>
      </c>
      <c r="J88" t="str">
        <f t="shared" si="7"/>
        <v>INACTIVE</v>
      </c>
      <c r="K88">
        <f t="shared" si="8"/>
        <v>1</v>
      </c>
      <c r="L88" s="22">
        <f t="shared" si="9"/>
        <v>45926</v>
      </c>
      <c r="M88" s="22"/>
    </row>
    <row r="89" spans="1:13" x14ac:dyDescent="0.2">
      <c r="A89" t="s">
        <v>616</v>
      </c>
      <c r="B89" t="s">
        <v>83</v>
      </c>
      <c r="C89" t="s">
        <v>604</v>
      </c>
      <c r="D89" s="22">
        <v>45010</v>
      </c>
      <c r="E89" s="22">
        <v>45113</v>
      </c>
      <c r="F89">
        <v>6</v>
      </c>
      <c r="G89" s="5">
        <v>3347200</v>
      </c>
      <c r="H89">
        <f t="shared" si="5"/>
        <v>557866.66666666663</v>
      </c>
      <c r="I89" s="11">
        <f t="shared" si="6"/>
        <v>1037</v>
      </c>
      <c r="J89" t="str">
        <f t="shared" si="7"/>
        <v>INACTIVE</v>
      </c>
      <c r="K89">
        <f t="shared" si="8"/>
        <v>1</v>
      </c>
      <c r="L89" s="22">
        <f t="shared" si="9"/>
        <v>45113</v>
      </c>
      <c r="M89" s="22"/>
    </row>
    <row r="90" spans="1:13" x14ac:dyDescent="0.2">
      <c r="A90" t="s">
        <v>615</v>
      </c>
      <c r="B90" t="s">
        <v>83</v>
      </c>
      <c r="C90" t="s">
        <v>604</v>
      </c>
      <c r="D90" s="22">
        <v>44893</v>
      </c>
      <c r="E90" s="22">
        <v>45426</v>
      </c>
      <c r="F90">
        <v>3</v>
      </c>
      <c r="G90" s="5">
        <v>3240000</v>
      </c>
      <c r="H90">
        <f t="shared" si="5"/>
        <v>1080000</v>
      </c>
      <c r="I90" s="11">
        <f t="shared" si="6"/>
        <v>724</v>
      </c>
      <c r="J90" t="str">
        <f t="shared" si="7"/>
        <v>INACTIVE</v>
      </c>
      <c r="K90">
        <f t="shared" si="8"/>
        <v>1</v>
      </c>
      <c r="L90" s="22">
        <f t="shared" si="9"/>
        <v>45426</v>
      </c>
      <c r="M90" s="22"/>
    </row>
    <row r="91" spans="1:13" x14ac:dyDescent="0.2">
      <c r="A91" t="s">
        <v>614</v>
      </c>
      <c r="B91" t="s">
        <v>83</v>
      </c>
      <c r="C91" t="s">
        <v>604</v>
      </c>
      <c r="D91" s="22">
        <v>45051</v>
      </c>
      <c r="E91" s="22">
        <v>46022</v>
      </c>
      <c r="F91">
        <v>12</v>
      </c>
      <c r="G91" s="5">
        <v>3240000</v>
      </c>
      <c r="H91">
        <f t="shared" si="5"/>
        <v>270000</v>
      </c>
      <c r="I91" s="11">
        <f t="shared" si="6"/>
        <v>128</v>
      </c>
      <c r="J91" t="str">
        <f t="shared" si="7"/>
        <v>ACTIVE</v>
      </c>
      <c r="K91">
        <f t="shared" si="8"/>
        <v>0</v>
      </c>
      <c r="L91" s="22" t="str">
        <f t="shared" si="9"/>
        <v xml:space="preserve"> </v>
      </c>
      <c r="M91" s="22"/>
    </row>
    <row r="92" spans="1:13" x14ac:dyDescent="0.2">
      <c r="A92" t="s">
        <v>613</v>
      </c>
      <c r="B92" t="s">
        <v>83</v>
      </c>
      <c r="C92" t="s">
        <v>604</v>
      </c>
      <c r="D92" s="22">
        <v>45274</v>
      </c>
      <c r="E92" s="22">
        <v>45952</v>
      </c>
      <c r="F92">
        <v>7</v>
      </c>
      <c r="G92" s="5">
        <v>3238400</v>
      </c>
      <c r="H92">
        <f t="shared" si="5"/>
        <v>462628.57142857142</v>
      </c>
      <c r="I92" s="11">
        <f t="shared" si="6"/>
        <v>198</v>
      </c>
      <c r="J92" t="str">
        <f t="shared" si="7"/>
        <v>INACTIVE</v>
      </c>
      <c r="K92">
        <f t="shared" si="8"/>
        <v>1</v>
      </c>
      <c r="L92" s="22">
        <f t="shared" si="9"/>
        <v>45952</v>
      </c>
      <c r="M92" s="22"/>
    </row>
    <row r="93" spans="1:13" x14ac:dyDescent="0.2">
      <c r="A93" t="s">
        <v>612</v>
      </c>
      <c r="B93" t="s">
        <v>83</v>
      </c>
      <c r="C93" t="s">
        <v>604</v>
      </c>
      <c r="D93" s="22">
        <v>45136</v>
      </c>
      <c r="E93" s="22">
        <v>46057</v>
      </c>
      <c r="F93">
        <v>3</v>
      </c>
      <c r="G93" s="5">
        <v>3180000</v>
      </c>
      <c r="H93">
        <f t="shared" si="5"/>
        <v>1060000</v>
      </c>
      <c r="I93" s="11">
        <f t="shared" si="6"/>
        <v>93</v>
      </c>
      <c r="J93" t="str">
        <f t="shared" si="7"/>
        <v>ACTIVE</v>
      </c>
      <c r="K93">
        <f t="shared" si="8"/>
        <v>0</v>
      </c>
      <c r="L93" s="22" t="str">
        <f t="shared" si="9"/>
        <v xml:space="preserve"> </v>
      </c>
      <c r="M93" s="22"/>
    </row>
    <row r="94" spans="1:13" x14ac:dyDescent="0.2">
      <c r="A94" t="s">
        <v>611</v>
      </c>
      <c r="B94" t="s">
        <v>83</v>
      </c>
      <c r="C94" t="s">
        <v>604</v>
      </c>
      <c r="D94" s="22">
        <v>45696</v>
      </c>
      <c r="E94" s="22">
        <v>45017</v>
      </c>
      <c r="F94">
        <v>1</v>
      </c>
      <c r="G94" s="5">
        <v>307200</v>
      </c>
      <c r="H94">
        <f t="shared" si="5"/>
        <v>307200</v>
      </c>
      <c r="I94" s="11">
        <f t="shared" si="6"/>
        <v>1133</v>
      </c>
      <c r="J94" t="str">
        <f t="shared" si="7"/>
        <v>INACTIVE</v>
      </c>
      <c r="K94">
        <f t="shared" si="8"/>
        <v>1</v>
      </c>
      <c r="L94" s="22">
        <f t="shared" si="9"/>
        <v>45017</v>
      </c>
      <c r="M94" s="22"/>
    </row>
    <row r="95" spans="1:13" x14ac:dyDescent="0.2">
      <c r="A95" t="s">
        <v>610</v>
      </c>
      <c r="B95" t="s">
        <v>83</v>
      </c>
      <c r="C95" t="s">
        <v>688</v>
      </c>
      <c r="D95" s="22">
        <v>45017</v>
      </c>
      <c r="E95" s="22">
        <v>45041</v>
      </c>
      <c r="F95">
        <v>1</v>
      </c>
      <c r="G95" s="5">
        <v>307200</v>
      </c>
      <c r="H95">
        <f t="shared" si="5"/>
        <v>307200</v>
      </c>
      <c r="I95" s="11">
        <f t="shared" si="6"/>
        <v>1109</v>
      </c>
      <c r="J95" t="str">
        <f t="shared" si="7"/>
        <v>INACTIVE</v>
      </c>
      <c r="K95">
        <f t="shared" si="8"/>
        <v>1</v>
      </c>
      <c r="L95" s="22">
        <f t="shared" si="9"/>
        <v>45041</v>
      </c>
      <c r="M95" s="22"/>
    </row>
    <row r="96" spans="1:13" x14ac:dyDescent="0.2">
      <c r="A96" t="s">
        <v>609</v>
      </c>
      <c r="B96" t="s">
        <v>83</v>
      </c>
      <c r="C96" t="s">
        <v>604</v>
      </c>
      <c r="D96" s="22">
        <v>45163</v>
      </c>
      <c r="E96" s="22">
        <v>45938</v>
      </c>
      <c r="F96">
        <v>1</v>
      </c>
      <c r="G96" s="5">
        <v>300000</v>
      </c>
      <c r="H96">
        <f t="shared" si="5"/>
        <v>300000</v>
      </c>
      <c r="I96" s="11">
        <f t="shared" si="6"/>
        <v>212</v>
      </c>
      <c r="J96" t="str">
        <f t="shared" si="7"/>
        <v>INACTIVE</v>
      </c>
      <c r="K96">
        <f t="shared" si="8"/>
        <v>1</v>
      </c>
      <c r="L96" s="22">
        <f t="shared" si="9"/>
        <v>45938</v>
      </c>
      <c r="M96" s="22"/>
    </row>
    <row r="97" spans="1:13" x14ac:dyDescent="0.2">
      <c r="A97" t="s">
        <v>608</v>
      </c>
      <c r="B97" t="s">
        <v>83</v>
      </c>
      <c r="C97" t="s">
        <v>604</v>
      </c>
      <c r="D97" s="22">
        <v>45938</v>
      </c>
      <c r="E97" s="22">
        <v>45923</v>
      </c>
      <c r="F97">
        <v>1</v>
      </c>
      <c r="G97" s="5">
        <v>300000</v>
      </c>
      <c r="H97">
        <f t="shared" si="5"/>
        <v>300000</v>
      </c>
      <c r="I97" s="11">
        <f t="shared" si="6"/>
        <v>227</v>
      </c>
      <c r="J97" t="str">
        <f t="shared" si="7"/>
        <v>INACTIVE</v>
      </c>
      <c r="K97">
        <f t="shared" si="8"/>
        <v>1</v>
      </c>
      <c r="L97" s="22">
        <f t="shared" si="9"/>
        <v>45923</v>
      </c>
      <c r="M97" s="22"/>
    </row>
    <row r="98" spans="1:13" x14ac:dyDescent="0.2">
      <c r="A98" t="s">
        <v>607</v>
      </c>
      <c r="B98" t="s">
        <v>83</v>
      </c>
      <c r="C98" t="s">
        <v>604</v>
      </c>
      <c r="D98" s="22">
        <v>45923</v>
      </c>
      <c r="E98" s="22">
        <v>46133</v>
      </c>
      <c r="F98">
        <v>1</v>
      </c>
      <c r="G98" s="5">
        <v>300000</v>
      </c>
      <c r="H98">
        <f t="shared" si="5"/>
        <v>300000</v>
      </c>
      <c r="I98" s="11">
        <f t="shared" si="6"/>
        <v>17</v>
      </c>
      <c r="J98" t="str">
        <f t="shared" si="7"/>
        <v>ACTIVE</v>
      </c>
      <c r="K98">
        <f t="shared" si="8"/>
        <v>0</v>
      </c>
      <c r="L98" s="22" t="str">
        <f t="shared" si="9"/>
        <v xml:space="preserve"> </v>
      </c>
      <c r="M98" s="22"/>
    </row>
    <row r="99" spans="1:13" x14ac:dyDescent="0.2">
      <c r="A99" t="s">
        <v>606</v>
      </c>
      <c r="B99" t="s">
        <v>83</v>
      </c>
      <c r="C99" t="s">
        <v>604</v>
      </c>
      <c r="D99" s="22">
        <v>46133</v>
      </c>
      <c r="E99" s="22">
        <v>46062</v>
      </c>
      <c r="F99">
        <v>1</v>
      </c>
      <c r="G99" s="5">
        <v>300000</v>
      </c>
      <c r="H99">
        <f t="shared" si="5"/>
        <v>300000</v>
      </c>
      <c r="I99" s="11">
        <f t="shared" si="6"/>
        <v>88</v>
      </c>
      <c r="J99" t="str">
        <f t="shared" si="7"/>
        <v>ACTIVE</v>
      </c>
      <c r="K99">
        <f t="shared" si="8"/>
        <v>0</v>
      </c>
      <c r="L99" s="22" t="str">
        <f t="shared" si="9"/>
        <v xml:space="preserve"> </v>
      </c>
      <c r="M99" s="22"/>
    </row>
    <row r="100" spans="1:13" x14ac:dyDescent="0.2">
      <c r="A100" t="s">
        <v>605</v>
      </c>
      <c r="B100" t="s">
        <v>83</v>
      </c>
      <c r="C100" t="s">
        <v>604</v>
      </c>
      <c r="D100" s="22">
        <v>46062</v>
      </c>
      <c r="E100" s="22">
        <v>45934</v>
      </c>
      <c r="F100">
        <v>1</v>
      </c>
      <c r="G100" s="5">
        <v>300000</v>
      </c>
      <c r="H100">
        <f t="shared" si="5"/>
        <v>300000</v>
      </c>
      <c r="I100" s="11">
        <f t="shared" si="6"/>
        <v>216</v>
      </c>
      <c r="J100" t="str">
        <f t="shared" si="7"/>
        <v>INACTIVE</v>
      </c>
      <c r="K100">
        <f t="shared" si="8"/>
        <v>1</v>
      </c>
      <c r="L100" s="22">
        <f t="shared" si="9"/>
        <v>45934</v>
      </c>
      <c r="M100" s="22"/>
    </row>
    <row r="101" spans="1:13" x14ac:dyDescent="0.2">
      <c r="A101" t="s">
        <v>715</v>
      </c>
      <c r="B101" t="s">
        <v>724</v>
      </c>
      <c r="C101" t="s">
        <v>604</v>
      </c>
      <c r="D101" s="22">
        <v>44873</v>
      </c>
      <c r="E101" s="22">
        <v>46134</v>
      </c>
      <c r="F101">
        <v>8</v>
      </c>
      <c r="G101">
        <v>2408000</v>
      </c>
      <c r="H101">
        <f t="shared" si="5"/>
        <v>301000</v>
      </c>
      <c r="I101" s="11">
        <f t="shared" si="6"/>
        <v>16</v>
      </c>
      <c r="J101" t="str">
        <f t="shared" si="7"/>
        <v>ACTIVE</v>
      </c>
      <c r="K101">
        <f t="shared" si="8"/>
        <v>0</v>
      </c>
      <c r="L101" s="22" t="str">
        <f t="shared" si="9"/>
        <v xml:space="preserve"> </v>
      </c>
      <c r="M101" s="22"/>
    </row>
    <row r="102" spans="1:13" x14ac:dyDescent="0.2">
      <c r="A102" t="s">
        <v>716</v>
      </c>
      <c r="B102" t="s">
        <v>83</v>
      </c>
      <c r="C102" t="s">
        <v>688</v>
      </c>
      <c r="D102" s="22">
        <v>45479</v>
      </c>
      <c r="E102" s="22">
        <v>46122</v>
      </c>
      <c r="F102">
        <v>9</v>
      </c>
      <c r="G102">
        <v>2508000</v>
      </c>
      <c r="H102">
        <f t="shared" si="5"/>
        <v>278666.66666666669</v>
      </c>
      <c r="I102" s="11">
        <f t="shared" si="6"/>
        <v>28</v>
      </c>
      <c r="J102" t="str">
        <f t="shared" si="7"/>
        <v>ACTIVE</v>
      </c>
      <c r="K102">
        <f t="shared" si="8"/>
        <v>0</v>
      </c>
      <c r="L102" s="22" t="str">
        <f t="shared" si="9"/>
        <v xml:space="preserve"> </v>
      </c>
      <c r="M102" s="22"/>
    </row>
    <row r="103" spans="1:13" x14ac:dyDescent="0.2">
      <c r="A103" t="s">
        <v>717</v>
      </c>
      <c r="B103" t="s">
        <v>724</v>
      </c>
      <c r="C103" t="s">
        <v>604</v>
      </c>
      <c r="D103" s="22">
        <v>46099</v>
      </c>
      <c r="E103" s="22">
        <v>46099</v>
      </c>
      <c r="F103">
        <v>1</v>
      </c>
      <c r="G103">
        <v>612750</v>
      </c>
      <c r="H103">
        <f t="shared" si="5"/>
        <v>612750</v>
      </c>
      <c r="I103" s="11">
        <f t="shared" si="6"/>
        <v>51</v>
      </c>
      <c r="J103" t="str">
        <f t="shared" si="7"/>
        <v>ACTIVE</v>
      </c>
      <c r="K103">
        <f t="shared" si="8"/>
        <v>0</v>
      </c>
      <c r="L103" s="22" t="str">
        <f t="shared" si="9"/>
        <v xml:space="preserve"> </v>
      </c>
      <c r="M103" s="22"/>
    </row>
    <row r="104" spans="1:13" x14ac:dyDescent="0.2">
      <c r="A104" t="s">
        <v>718</v>
      </c>
      <c r="B104" t="s">
        <v>83</v>
      </c>
      <c r="C104" t="s">
        <v>688</v>
      </c>
      <c r="D104" s="22">
        <v>46080</v>
      </c>
      <c r="E104" s="22">
        <v>45337</v>
      </c>
      <c r="F104">
        <v>1</v>
      </c>
      <c r="G104">
        <v>1425000</v>
      </c>
      <c r="H104">
        <f t="shared" si="5"/>
        <v>1425000</v>
      </c>
      <c r="I104" s="11">
        <f t="shared" si="6"/>
        <v>813</v>
      </c>
      <c r="J104" t="str">
        <f t="shared" si="7"/>
        <v>INACTIVE</v>
      </c>
      <c r="K104">
        <f t="shared" si="8"/>
        <v>1</v>
      </c>
      <c r="L104" s="22">
        <f t="shared" si="9"/>
        <v>45337</v>
      </c>
      <c r="M104" s="22"/>
    </row>
    <row r="105" spans="1:13" x14ac:dyDescent="0.2">
      <c r="A105" t="s">
        <v>719</v>
      </c>
      <c r="B105" t="s">
        <v>83</v>
      </c>
      <c r="C105" t="s">
        <v>688</v>
      </c>
      <c r="D105" s="22">
        <v>44867</v>
      </c>
      <c r="E105" s="22">
        <v>45106</v>
      </c>
      <c r="F105">
        <v>5</v>
      </c>
      <c r="G105">
        <v>1360000</v>
      </c>
      <c r="H105">
        <f t="shared" si="5"/>
        <v>272000</v>
      </c>
      <c r="I105" s="11">
        <f t="shared" si="6"/>
        <v>1044</v>
      </c>
      <c r="J105" t="str">
        <f t="shared" si="7"/>
        <v>INACTIVE</v>
      </c>
      <c r="K105">
        <f t="shared" si="8"/>
        <v>1</v>
      </c>
      <c r="L105" s="22">
        <f t="shared" si="9"/>
        <v>45106</v>
      </c>
      <c r="M105" s="22"/>
    </row>
    <row r="106" spans="1:13" x14ac:dyDescent="0.2">
      <c r="A106" t="s">
        <v>720</v>
      </c>
      <c r="B106" t="s">
        <v>83</v>
      </c>
      <c r="C106" t="s">
        <v>604</v>
      </c>
      <c r="D106" s="22">
        <v>44977</v>
      </c>
      <c r="E106" s="22">
        <v>45880</v>
      </c>
      <c r="F106">
        <v>2</v>
      </c>
      <c r="G106">
        <v>1360000</v>
      </c>
      <c r="H106">
        <f t="shared" si="5"/>
        <v>680000</v>
      </c>
      <c r="I106" s="11">
        <f t="shared" si="6"/>
        <v>270</v>
      </c>
      <c r="J106" t="str">
        <f t="shared" si="7"/>
        <v>INACTIVE</v>
      </c>
      <c r="K106">
        <f t="shared" si="8"/>
        <v>1</v>
      </c>
      <c r="L106" s="22">
        <f t="shared" si="9"/>
        <v>45880</v>
      </c>
      <c r="M106" s="22"/>
    </row>
    <row r="107" spans="1:13" x14ac:dyDescent="0.2">
      <c r="A107" t="s">
        <v>721</v>
      </c>
      <c r="B107" t="s">
        <v>723</v>
      </c>
      <c r="C107" t="s">
        <v>604</v>
      </c>
      <c r="D107" s="22">
        <v>45063</v>
      </c>
      <c r="E107" s="22">
        <v>45943</v>
      </c>
      <c r="F107">
        <v>6</v>
      </c>
      <c r="G107">
        <v>1340000</v>
      </c>
      <c r="H107">
        <f t="shared" si="5"/>
        <v>223333.33333333334</v>
      </c>
      <c r="I107" s="11">
        <f t="shared" si="6"/>
        <v>207</v>
      </c>
      <c r="J107" t="str">
        <f t="shared" si="7"/>
        <v>INACTIVE</v>
      </c>
      <c r="K107">
        <f t="shared" si="8"/>
        <v>1</v>
      </c>
      <c r="L107" s="22">
        <f t="shared" si="9"/>
        <v>45943</v>
      </c>
      <c r="M107" s="22"/>
    </row>
    <row r="108" spans="1:13" x14ac:dyDescent="0.2">
      <c r="A108" t="s">
        <v>722</v>
      </c>
      <c r="B108" t="s">
        <v>83</v>
      </c>
      <c r="C108" t="s">
        <v>604</v>
      </c>
      <c r="D108" s="22">
        <v>45155</v>
      </c>
      <c r="E108" s="22">
        <v>45621</v>
      </c>
      <c r="F108">
        <v>6</v>
      </c>
      <c r="G108">
        <v>1320000</v>
      </c>
      <c r="H108">
        <f t="shared" si="5"/>
        <v>220000</v>
      </c>
      <c r="I108" s="11">
        <f t="shared" si="6"/>
        <v>529</v>
      </c>
      <c r="J108" t="str">
        <f t="shared" si="7"/>
        <v>INACTIVE</v>
      </c>
      <c r="K108">
        <f t="shared" si="8"/>
        <v>1</v>
      </c>
      <c r="L108" s="22">
        <f t="shared" si="9"/>
        <v>45621</v>
      </c>
      <c r="M108" s="22"/>
    </row>
    <row r="109" spans="1:13" x14ac:dyDescent="0.2">
      <c r="G109" s="5"/>
    </row>
    <row r="110" spans="1:13" x14ac:dyDescent="0.2">
      <c r="G110" s="5"/>
    </row>
    <row r="111" spans="1:13" x14ac:dyDescent="0.2">
      <c r="G111" s="5"/>
    </row>
    <row r="112" spans="1:13" x14ac:dyDescent="0.2">
      <c r="G112"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68DD-4B62-A844-A044-3A6BBFEB30C2}">
  <dimension ref="A1:D501"/>
  <sheetViews>
    <sheetView tabSelected="1" zoomScale="200" workbookViewId="0">
      <selection sqref="A1:D1"/>
    </sheetView>
  </sheetViews>
  <sheetFormatPr baseColWidth="10" defaultRowHeight="16" x14ac:dyDescent="0.2"/>
  <cols>
    <col min="1" max="1" width="36.33203125" customWidth="1"/>
    <col min="3" max="3" width="16" customWidth="1"/>
    <col min="5" max="5" width="26.5" customWidth="1"/>
  </cols>
  <sheetData>
    <row r="1" spans="1:4" x14ac:dyDescent="0.2">
      <c r="A1" t="s">
        <v>1223</v>
      </c>
      <c r="B1" t="s">
        <v>1224</v>
      </c>
      <c r="C1" t="s">
        <v>1225</v>
      </c>
      <c r="D1" t="s">
        <v>1226</v>
      </c>
    </row>
    <row r="2" spans="1:4" x14ac:dyDescent="0.2">
      <c r="A2" t="s">
        <v>729</v>
      </c>
      <c r="B2">
        <v>48960</v>
      </c>
      <c r="C2">
        <v>1.1128088235294114</v>
      </c>
      <c r="D2">
        <v>9.7857843137254505</v>
      </c>
    </row>
    <row r="3" spans="1:4" x14ac:dyDescent="0.2">
      <c r="A3" t="s">
        <v>730</v>
      </c>
      <c r="B3">
        <v>10272</v>
      </c>
      <c r="C3">
        <v>0.95535046728971673</v>
      </c>
      <c r="D3">
        <v>3.9748831775700904</v>
      </c>
    </row>
    <row r="4" spans="1:4" x14ac:dyDescent="0.2">
      <c r="A4" t="s">
        <v>731</v>
      </c>
      <c r="B4">
        <v>9800</v>
      </c>
      <c r="C4">
        <v>0.99528979591836442</v>
      </c>
      <c r="D4">
        <v>6.4524489795918303</v>
      </c>
    </row>
    <row r="5" spans="1:4" x14ac:dyDescent="0.2">
      <c r="A5" t="s">
        <v>732</v>
      </c>
      <c r="B5">
        <v>8984</v>
      </c>
      <c r="C5">
        <v>0.95815672306322219</v>
      </c>
      <c r="D5">
        <v>5.1317898486197624</v>
      </c>
    </row>
    <row r="6" spans="1:4" x14ac:dyDescent="0.2">
      <c r="A6" t="s">
        <v>733</v>
      </c>
      <c r="B6">
        <v>8072</v>
      </c>
      <c r="C6">
        <v>0.97608523290386173</v>
      </c>
      <c r="D6">
        <v>20.257433102081251</v>
      </c>
    </row>
    <row r="7" spans="1:4" x14ac:dyDescent="0.2">
      <c r="A7" t="s">
        <v>734</v>
      </c>
      <c r="B7">
        <v>3840</v>
      </c>
      <c r="C7">
        <v>0.99006249999999707</v>
      </c>
      <c r="D7">
        <v>7.0546875</v>
      </c>
    </row>
    <row r="8" spans="1:4" x14ac:dyDescent="0.2">
      <c r="A8" t="s">
        <v>66</v>
      </c>
      <c r="B8">
        <v>3840</v>
      </c>
      <c r="C8">
        <v>1.4240625</v>
      </c>
      <c r="D8">
        <v>15.015624999999975</v>
      </c>
    </row>
    <row r="9" spans="1:4" x14ac:dyDescent="0.2">
      <c r="A9" t="s">
        <v>31</v>
      </c>
      <c r="B9">
        <v>3704</v>
      </c>
      <c r="C9">
        <v>1.4020302375809934</v>
      </c>
      <c r="D9">
        <v>12.085853131749451</v>
      </c>
    </row>
    <row r="10" spans="1:4" x14ac:dyDescent="0.2">
      <c r="A10" t="s">
        <v>735</v>
      </c>
      <c r="B10">
        <v>2968</v>
      </c>
      <c r="C10">
        <v>0.97762803234501283</v>
      </c>
      <c r="D10">
        <v>17.4359838274932</v>
      </c>
    </row>
    <row r="11" spans="1:4" x14ac:dyDescent="0.2">
      <c r="A11" t="s">
        <v>736</v>
      </c>
      <c r="B11">
        <v>2792</v>
      </c>
      <c r="C11">
        <v>0.96464183381088653</v>
      </c>
      <c r="D11">
        <v>5.9183381088825158</v>
      </c>
    </row>
    <row r="12" spans="1:4" x14ac:dyDescent="0.2">
      <c r="A12" t="s">
        <v>737</v>
      </c>
      <c r="B12">
        <v>2616</v>
      </c>
      <c r="C12">
        <v>1.0295412844036691</v>
      </c>
      <c r="D12">
        <v>13.26376146788985</v>
      </c>
    </row>
    <row r="13" spans="1:4" x14ac:dyDescent="0.2">
      <c r="A13" t="s">
        <v>738</v>
      </c>
      <c r="B13">
        <v>2600</v>
      </c>
      <c r="C13">
        <v>1.3105846153846068</v>
      </c>
      <c r="D13">
        <v>13.6130769230769</v>
      </c>
    </row>
    <row r="14" spans="1:4" x14ac:dyDescent="0.2">
      <c r="A14" t="s">
        <v>739</v>
      </c>
      <c r="B14">
        <v>2464</v>
      </c>
      <c r="C14">
        <v>0.99038961038960582</v>
      </c>
      <c r="D14">
        <v>22.244318181818173</v>
      </c>
    </row>
    <row r="15" spans="1:4" x14ac:dyDescent="0.2">
      <c r="A15" t="s">
        <v>740</v>
      </c>
      <c r="B15">
        <v>2352</v>
      </c>
      <c r="C15">
        <v>0.97428571428570721</v>
      </c>
      <c r="D15">
        <v>11.650510204081575</v>
      </c>
    </row>
    <row r="16" spans="1:4" x14ac:dyDescent="0.2">
      <c r="A16" t="s">
        <v>741</v>
      </c>
      <c r="B16">
        <v>2288</v>
      </c>
      <c r="C16">
        <v>1.4990559440559426</v>
      </c>
      <c r="D16">
        <v>18.708041958041925</v>
      </c>
    </row>
    <row r="17" spans="1:4" x14ac:dyDescent="0.2">
      <c r="A17" t="s">
        <v>742</v>
      </c>
      <c r="B17">
        <v>2088</v>
      </c>
      <c r="C17">
        <v>1.5428735632183868</v>
      </c>
      <c r="D17">
        <v>16.005747126436724</v>
      </c>
    </row>
    <row r="18" spans="1:4" x14ac:dyDescent="0.2">
      <c r="A18" t="s">
        <v>743</v>
      </c>
      <c r="B18">
        <v>1992</v>
      </c>
      <c r="C18">
        <v>1.5313253012048136</v>
      </c>
      <c r="D18">
        <v>19.4156626506024</v>
      </c>
    </row>
    <row r="19" spans="1:4" x14ac:dyDescent="0.2">
      <c r="A19" t="s">
        <v>744</v>
      </c>
      <c r="B19">
        <v>1920</v>
      </c>
      <c r="C19">
        <v>0.96874999999999389</v>
      </c>
      <c r="D19">
        <v>7.3749999999999982</v>
      </c>
    </row>
    <row r="20" spans="1:4" x14ac:dyDescent="0.2">
      <c r="A20" t="s">
        <v>745</v>
      </c>
      <c r="B20">
        <v>1864</v>
      </c>
      <c r="C20">
        <v>0.97789699570814825</v>
      </c>
      <c r="D20">
        <v>10.3905579399141</v>
      </c>
    </row>
    <row r="21" spans="1:4" x14ac:dyDescent="0.2">
      <c r="A21" t="s">
        <v>746</v>
      </c>
      <c r="B21">
        <v>1856</v>
      </c>
      <c r="C21">
        <v>1.0061637931034408</v>
      </c>
      <c r="D21">
        <v>7.2607758620689644</v>
      </c>
    </row>
    <row r="22" spans="1:4" x14ac:dyDescent="0.2">
      <c r="A22" t="s">
        <v>42</v>
      </c>
      <c r="B22">
        <v>1808</v>
      </c>
      <c r="C22">
        <v>0.96703539823008144</v>
      </c>
      <c r="D22">
        <v>7.7356194690264743</v>
      </c>
    </row>
    <row r="23" spans="1:4" x14ac:dyDescent="0.2">
      <c r="A23" t="s">
        <v>747</v>
      </c>
      <c r="B23">
        <v>1800</v>
      </c>
      <c r="C23">
        <v>1.0291999999999939</v>
      </c>
      <c r="D23">
        <v>5.926666666666665</v>
      </c>
    </row>
    <row r="24" spans="1:4" x14ac:dyDescent="0.2">
      <c r="A24" t="s">
        <v>748</v>
      </c>
      <c r="B24">
        <v>1776</v>
      </c>
      <c r="C24">
        <v>0.9677027027027022</v>
      </c>
      <c r="D24">
        <v>10.800675675675675</v>
      </c>
    </row>
    <row r="25" spans="1:4" x14ac:dyDescent="0.2">
      <c r="A25" t="s">
        <v>749</v>
      </c>
      <c r="B25">
        <v>1728</v>
      </c>
      <c r="C25">
        <v>0.964444444444438</v>
      </c>
      <c r="D25">
        <v>14.3472222222222</v>
      </c>
    </row>
    <row r="26" spans="1:4" x14ac:dyDescent="0.2">
      <c r="A26" t="s">
        <v>750</v>
      </c>
      <c r="B26">
        <v>1688</v>
      </c>
      <c r="C26">
        <v>1.4192417061611371</v>
      </c>
      <c r="D26">
        <v>24.248815165876724</v>
      </c>
    </row>
    <row r="27" spans="1:4" x14ac:dyDescent="0.2">
      <c r="A27" t="s">
        <v>751</v>
      </c>
      <c r="B27">
        <v>1680</v>
      </c>
      <c r="C27">
        <v>1.3905714285714237</v>
      </c>
      <c r="D27">
        <v>18.357142857142801</v>
      </c>
    </row>
    <row r="28" spans="1:4" x14ac:dyDescent="0.2">
      <c r="A28" t="s">
        <v>95</v>
      </c>
      <c r="B28">
        <v>1584</v>
      </c>
      <c r="C28">
        <v>0.986363636363636</v>
      </c>
      <c r="D28">
        <v>16.098484848484802</v>
      </c>
    </row>
    <row r="29" spans="1:4" x14ac:dyDescent="0.2">
      <c r="A29" t="s">
        <v>752</v>
      </c>
      <c r="B29">
        <v>1576</v>
      </c>
      <c r="C29">
        <v>0.96304568527918066</v>
      </c>
      <c r="D29">
        <v>23.299492385786774</v>
      </c>
    </row>
    <row r="30" spans="1:4" x14ac:dyDescent="0.2">
      <c r="A30" t="s">
        <v>753</v>
      </c>
      <c r="B30">
        <v>1536</v>
      </c>
      <c r="C30">
        <v>1.4821875</v>
      </c>
      <c r="D30">
        <v>12.7265625</v>
      </c>
    </row>
    <row r="31" spans="1:4" x14ac:dyDescent="0.2">
      <c r="A31" t="s">
        <v>754</v>
      </c>
      <c r="B31">
        <v>1512</v>
      </c>
      <c r="C31">
        <v>0.99396825396824584</v>
      </c>
      <c r="D31">
        <v>8.6468253968253741</v>
      </c>
    </row>
    <row r="32" spans="1:4" x14ac:dyDescent="0.2">
      <c r="A32" t="s">
        <v>755</v>
      </c>
      <c r="B32">
        <v>1488</v>
      </c>
      <c r="C32">
        <v>0.999999999999999</v>
      </c>
      <c r="D32">
        <v>7.9314516129032251</v>
      </c>
    </row>
    <row r="33" spans="1:4" x14ac:dyDescent="0.2">
      <c r="A33" t="s">
        <v>756</v>
      </c>
      <c r="B33">
        <v>1456</v>
      </c>
      <c r="C33">
        <v>1.0219780219780137</v>
      </c>
      <c r="D33">
        <v>9.5769230769230251</v>
      </c>
    </row>
    <row r="34" spans="1:4" x14ac:dyDescent="0.2">
      <c r="A34" t="s">
        <v>757</v>
      </c>
      <c r="B34">
        <v>1440</v>
      </c>
      <c r="C34">
        <v>1.4415000000000002</v>
      </c>
      <c r="D34">
        <v>11.26249999999995</v>
      </c>
    </row>
    <row r="35" spans="1:4" x14ac:dyDescent="0.2">
      <c r="A35" t="s">
        <v>758</v>
      </c>
      <c r="B35">
        <v>1392</v>
      </c>
      <c r="C35">
        <v>1.0155172413793052</v>
      </c>
      <c r="D35">
        <v>7.3103448275862073</v>
      </c>
    </row>
    <row r="36" spans="1:4" x14ac:dyDescent="0.2">
      <c r="A36" t="s">
        <v>759</v>
      </c>
      <c r="B36">
        <v>1384</v>
      </c>
      <c r="C36">
        <v>1.026763005780341</v>
      </c>
      <c r="D36">
        <v>7.1921965317919057</v>
      </c>
    </row>
    <row r="37" spans="1:4" x14ac:dyDescent="0.2">
      <c r="A37" t="s">
        <v>760</v>
      </c>
      <c r="B37">
        <v>1368</v>
      </c>
      <c r="C37">
        <v>0.91368421052631565</v>
      </c>
      <c r="D37">
        <v>6.6271929824561395</v>
      </c>
    </row>
    <row r="38" spans="1:4" x14ac:dyDescent="0.2">
      <c r="A38" t="s">
        <v>761</v>
      </c>
      <c r="B38">
        <v>1360</v>
      </c>
      <c r="C38">
        <v>1.5427058823529367</v>
      </c>
      <c r="D38">
        <v>19.817647058823525</v>
      </c>
    </row>
    <row r="39" spans="1:4" x14ac:dyDescent="0.2">
      <c r="A39" t="s">
        <v>44</v>
      </c>
      <c r="B39">
        <v>1360</v>
      </c>
      <c r="C39">
        <v>1.0065882352941171</v>
      </c>
      <c r="D39">
        <v>20.713235294117624</v>
      </c>
    </row>
    <row r="40" spans="1:4" x14ac:dyDescent="0.2">
      <c r="A40" t="s">
        <v>762</v>
      </c>
      <c r="B40">
        <v>1352</v>
      </c>
      <c r="C40">
        <v>0.98502958579881095</v>
      </c>
      <c r="D40">
        <v>7.1050295857988175</v>
      </c>
    </row>
    <row r="41" spans="1:4" x14ac:dyDescent="0.2">
      <c r="A41" t="s">
        <v>763</v>
      </c>
      <c r="B41">
        <v>1304</v>
      </c>
      <c r="C41">
        <v>1.4092638036809786</v>
      </c>
      <c r="D41">
        <v>18.892638036809775</v>
      </c>
    </row>
    <row r="42" spans="1:4" x14ac:dyDescent="0.2">
      <c r="A42" t="s">
        <v>764</v>
      </c>
      <c r="B42">
        <v>1288</v>
      </c>
      <c r="C42">
        <v>0.95888198757763232</v>
      </c>
      <c r="D42">
        <v>8.7437888198757747</v>
      </c>
    </row>
    <row r="43" spans="1:4" x14ac:dyDescent="0.2">
      <c r="A43" t="s">
        <v>765</v>
      </c>
      <c r="B43">
        <v>1264</v>
      </c>
      <c r="C43">
        <v>1.3891139240506243</v>
      </c>
      <c r="D43">
        <v>14.544303797468325</v>
      </c>
    </row>
    <row r="44" spans="1:4" x14ac:dyDescent="0.2">
      <c r="A44" t="s">
        <v>766</v>
      </c>
      <c r="B44">
        <v>1264</v>
      </c>
      <c r="C44">
        <v>1.4774050632911311</v>
      </c>
      <c r="D44">
        <v>22.319620253164498</v>
      </c>
    </row>
    <row r="45" spans="1:4" x14ac:dyDescent="0.2">
      <c r="A45" t="s">
        <v>767</v>
      </c>
      <c r="B45">
        <v>1240</v>
      </c>
      <c r="C45">
        <v>0.94199999999999862</v>
      </c>
      <c r="D45">
        <v>2.5935483870967726</v>
      </c>
    </row>
    <row r="46" spans="1:4" x14ac:dyDescent="0.2">
      <c r="A46" t="s">
        <v>768</v>
      </c>
      <c r="B46">
        <v>1240</v>
      </c>
      <c r="C46">
        <v>1.0019999999999911</v>
      </c>
      <c r="D46">
        <v>8.8838709677418741</v>
      </c>
    </row>
    <row r="47" spans="1:4" x14ac:dyDescent="0.2">
      <c r="A47" t="s">
        <v>769</v>
      </c>
      <c r="B47">
        <v>1224</v>
      </c>
      <c r="C47">
        <v>1.0272549019607817</v>
      </c>
      <c r="D47">
        <v>7.6862745098038499</v>
      </c>
    </row>
    <row r="48" spans="1:4" x14ac:dyDescent="0.2">
      <c r="A48" t="s">
        <v>770</v>
      </c>
      <c r="B48">
        <v>1192</v>
      </c>
      <c r="C48">
        <v>1.4667785234899318</v>
      </c>
      <c r="D48">
        <v>16.374161073825448</v>
      </c>
    </row>
    <row r="49" spans="1:4" x14ac:dyDescent="0.2">
      <c r="A49" t="s">
        <v>771</v>
      </c>
      <c r="B49">
        <v>1176</v>
      </c>
      <c r="C49">
        <v>0.97428571428570721</v>
      </c>
      <c r="D49">
        <v>10.2755102040816</v>
      </c>
    </row>
    <row r="50" spans="1:4" x14ac:dyDescent="0.2">
      <c r="A50" t="s">
        <v>772</v>
      </c>
      <c r="B50">
        <v>1168</v>
      </c>
      <c r="C50">
        <v>0.93</v>
      </c>
      <c r="D50">
        <v>3.7140410958904053</v>
      </c>
    </row>
    <row r="51" spans="1:4" x14ac:dyDescent="0.2">
      <c r="A51" t="s">
        <v>773</v>
      </c>
      <c r="B51">
        <v>1160</v>
      </c>
      <c r="C51">
        <v>0.94924137931034136</v>
      </c>
      <c r="D51">
        <v>4.3758620689655103</v>
      </c>
    </row>
    <row r="52" spans="1:4" x14ac:dyDescent="0.2">
      <c r="A52" t="s">
        <v>774</v>
      </c>
      <c r="B52">
        <v>1152</v>
      </c>
      <c r="C52">
        <v>1.3885416666666617</v>
      </c>
      <c r="D52">
        <v>12.09375</v>
      </c>
    </row>
    <row r="53" spans="1:4" x14ac:dyDescent="0.2">
      <c r="A53" t="s">
        <v>775</v>
      </c>
      <c r="B53">
        <v>1112</v>
      </c>
      <c r="C53">
        <v>1.0370503597122258</v>
      </c>
      <c r="D53">
        <v>21.852517985611499</v>
      </c>
    </row>
    <row r="54" spans="1:4" x14ac:dyDescent="0.2">
      <c r="A54" t="s">
        <v>776</v>
      </c>
      <c r="B54">
        <v>1112</v>
      </c>
      <c r="C54">
        <v>1.4317985611510784</v>
      </c>
      <c r="D54">
        <v>13.25179856115105</v>
      </c>
    </row>
    <row r="55" spans="1:4" x14ac:dyDescent="0.2">
      <c r="A55" t="s">
        <v>777</v>
      </c>
      <c r="B55">
        <v>1096</v>
      </c>
      <c r="C55">
        <v>1.0046715328467064</v>
      </c>
      <c r="D55">
        <v>8.895985401459825</v>
      </c>
    </row>
    <row r="56" spans="1:4" x14ac:dyDescent="0.2">
      <c r="A56" t="s">
        <v>778</v>
      </c>
      <c r="B56">
        <v>1072</v>
      </c>
      <c r="C56">
        <v>1.0549253731343236</v>
      </c>
      <c r="D56">
        <v>11.569029850746226</v>
      </c>
    </row>
    <row r="57" spans="1:4" x14ac:dyDescent="0.2">
      <c r="A57" t="s">
        <v>779</v>
      </c>
      <c r="B57">
        <v>1064</v>
      </c>
      <c r="C57">
        <v>0.97894736842104479</v>
      </c>
      <c r="D57">
        <v>10.285714285714274</v>
      </c>
    </row>
    <row r="58" spans="1:4" x14ac:dyDescent="0.2">
      <c r="A58" t="s">
        <v>780</v>
      </c>
      <c r="B58">
        <v>1056</v>
      </c>
      <c r="C58">
        <v>0.91590909090909012</v>
      </c>
      <c r="D58">
        <v>8.5568181818181746</v>
      </c>
    </row>
    <row r="59" spans="1:4" x14ac:dyDescent="0.2">
      <c r="A59" t="s">
        <v>781</v>
      </c>
      <c r="B59">
        <v>1024</v>
      </c>
      <c r="C59">
        <v>0.98085937500000009</v>
      </c>
      <c r="D59">
        <v>13.330078125</v>
      </c>
    </row>
    <row r="60" spans="1:4" x14ac:dyDescent="0.2">
      <c r="A60" t="s">
        <v>782</v>
      </c>
      <c r="B60">
        <v>1024</v>
      </c>
      <c r="C60">
        <v>1.84546875</v>
      </c>
      <c r="D60">
        <v>27.111328125</v>
      </c>
    </row>
    <row r="61" spans="1:4" x14ac:dyDescent="0.2">
      <c r="A61" t="s">
        <v>783</v>
      </c>
      <c r="B61">
        <v>1016</v>
      </c>
      <c r="C61">
        <v>1.4792125984251949</v>
      </c>
      <c r="D61">
        <v>18.537401574803098</v>
      </c>
    </row>
    <row r="62" spans="1:4" x14ac:dyDescent="0.2">
      <c r="A62" t="s">
        <v>784</v>
      </c>
      <c r="B62">
        <v>1016</v>
      </c>
      <c r="C62">
        <v>0.95196850393700372</v>
      </c>
      <c r="D62">
        <v>8.8110236220471752</v>
      </c>
    </row>
    <row r="63" spans="1:4" x14ac:dyDescent="0.2">
      <c r="A63" t="s">
        <v>785</v>
      </c>
      <c r="B63">
        <v>992</v>
      </c>
      <c r="C63">
        <v>0.92249999999999932</v>
      </c>
      <c r="D63">
        <v>20.449596774193502</v>
      </c>
    </row>
    <row r="64" spans="1:4" x14ac:dyDescent="0.2">
      <c r="A64" t="s">
        <v>786</v>
      </c>
      <c r="B64">
        <v>984</v>
      </c>
      <c r="C64">
        <v>1.0131707317073142</v>
      </c>
      <c r="D64">
        <v>8.4207317073170245</v>
      </c>
    </row>
    <row r="65" spans="1:4" x14ac:dyDescent="0.2">
      <c r="A65" t="s">
        <v>787</v>
      </c>
      <c r="B65">
        <v>976</v>
      </c>
      <c r="C65">
        <v>0.96811475409835424</v>
      </c>
      <c r="D65">
        <v>10.42622950819665</v>
      </c>
    </row>
    <row r="66" spans="1:4" x14ac:dyDescent="0.2">
      <c r="A66" t="s">
        <v>788</v>
      </c>
      <c r="B66">
        <v>968</v>
      </c>
      <c r="C66">
        <v>0.99917355371900252</v>
      </c>
      <c r="D66">
        <v>9.9111570247933507</v>
      </c>
    </row>
    <row r="67" spans="1:4" x14ac:dyDescent="0.2">
      <c r="A67" t="s">
        <v>789</v>
      </c>
      <c r="B67">
        <v>968</v>
      </c>
      <c r="C67">
        <v>1.329669421487601</v>
      </c>
      <c r="D67">
        <v>16.605371900826377</v>
      </c>
    </row>
    <row r="68" spans="1:4" x14ac:dyDescent="0.2">
      <c r="A68" t="s">
        <v>790</v>
      </c>
      <c r="B68">
        <v>960</v>
      </c>
      <c r="C68">
        <v>1.565499999999997</v>
      </c>
      <c r="D68">
        <v>16.449999999999974</v>
      </c>
    </row>
    <row r="69" spans="1:4" x14ac:dyDescent="0.2">
      <c r="A69" t="s">
        <v>791</v>
      </c>
      <c r="B69">
        <v>952</v>
      </c>
      <c r="C69">
        <v>1.7271428571428507</v>
      </c>
      <c r="D69">
        <v>20.224789915966348</v>
      </c>
    </row>
    <row r="70" spans="1:4" x14ac:dyDescent="0.2">
      <c r="A70" t="s">
        <v>792</v>
      </c>
      <c r="B70">
        <v>912</v>
      </c>
      <c r="C70">
        <v>0.94631578947368167</v>
      </c>
      <c r="D70">
        <v>3.9276315789473628</v>
      </c>
    </row>
    <row r="71" spans="1:4" x14ac:dyDescent="0.2">
      <c r="A71" t="s">
        <v>793</v>
      </c>
      <c r="B71">
        <v>904</v>
      </c>
      <c r="C71">
        <v>1.4073451327433575</v>
      </c>
      <c r="D71">
        <v>15.730088495575201</v>
      </c>
    </row>
    <row r="72" spans="1:4" x14ac:dyDescent="0.2">
      <c r="A72" t="s">
        <v>794</v>
      </c>
      <c r="B72">
        <v>896</v>
      </c>
      <c r="C72">
        <v>0.98812500000000003</v>
      </c>
      <c r="D72">
        <v>6.890625</v>
      </c>
    </row>
    <row r="73" spans="1:4" x14ac:dyDescent="0.2">
      <c r="A73" t="s">
        <v>795</v>
      </c>
      <c r="B73">
        <v>888</v>
      </c>
      <c r="C73">
        <v>0.93</v>
      </c>
      <c r="D73">
        <v>6.9729729729729666</v>
      </c>
    </row>
    <row r="74" spans="1:4" x14ac:dyDescent="0.2">
      <c r="A74" t="s">
        <v>796</v>
      </c>
      <c r="B74">
        <v>888</v>
      </c>
      <c r="C74">
        <v>0.94675675675674942</v>
      </c>
      <c r="D74">
        <v>4.9459459459459429</v>
      </c>
    </row>
    <row r="75" spans="1:4" x14ac:dyDescent="0.2">
      <c r="A75" t="s">
        <v>39</v>
      </c>
      <c r="B75">
        <v>864</v>
      </c>
      <c r="C75">
        <v>0.97305555555554979</v>
      </c>
      <c r="D75">
        <v>24.902777777777779</v>
      </c>
    </row>
    <row r="76" spans="1:4" x14ac:dyDescent="0.2">
      <c r="A76" t="s">
        <v>797</v>
      </c>
      <c r="B76">
        <v>864</v>
      </c>
      <c r="C76">
        <v>1.3261111111111057</v>
      </c>
      <c r="D76">
        <v>19.80555555555555</v>
      </c>
    </row>
    <row r="77" spans="1:4" x14ac:dyDescent="0.2">
      <c r="A77" t="s">
        <v>798</v>
      </c>
      <c r="B77">
        <v>864</v>
      </c>
      <c r="C77">
        <v>1.2916666666666585</v>
      </c>
      <c r="D77">
        <v>16.888888888888875</v>
      </c>
    </row>
    <row r="78" spans="1:4" x14ac:dyDescent="0.2">
      <c r="A78" t="s">
        <v>799</v>
      </c>
      <c r="B78">
        <v>848</v>
      </c>
      <c r="C78">
        <v>1.4476415094339572</v>
      </c>
      <c r="D78">
        <v>14.497641509433901</v>
      </c>
    </row>
    <row r="79" spans="1:4" x14ac:dyDescent="0.2">
      <c r="A79" t="s">
        <v>800</v>
      </c>
      <c r="B79">
        <v>848</v>
      </c>
      <c r="C79">
        <v>0.97386792452829751</v>
      </c>
      <c r="D79">
        <v>9.3608490566036995</v>
      </c>
    </row>
    <row r="80" spans="1:4" x14ac:dyDescent="0.2">
      <c r="A80" t="s">
        <v>801</v>
      </c>
      <c r="B80">
        <v>832</v>
      </c>
      <c r="C80">
        <v>0.88528846153846075</v>
      </c>
      <c r="D80">
        <v>3.2596153846153797</v>
      </c>
    </row>
    <row r="81" spans="1:4" x14ac:dyDescent="0.2">
      <c r="A81" t="s">
        <v>802</v>
      </c>
      <c r="B81">
        <v>832</v>
      </c>
      <c r="C81">
        <v>0.983653846153839</v>
      </c>
      <c r="D81">
        <v>6.5120192307692246</v>
      </c>
    </row>
    <row r="82" spans="1:4" x14ac:dyDescent="0.2">
      <c r="A82" t="s">
        <v>803</v>
      </c>
      <c r="B82">
        <v>816</v>
      </c>
      <c r="C82">
        <v>1.0120588235294052</v>
      </c>
      <c r="D82">
        <v>10.117647058823476</v>
      </c>
    </row>
    <row r="83" spans="1:4" x14ac:dyDescent="0.2">
      <c r="A83" t="s">
        <v>804</v>
      </c>
      <c r="B83">
        <v>792</v>
      </c>
      <c r="C83">
        <v>1.3621212121212078</v>
      </c>
      <c r="D83">
        <v>13.310606060606027</v>
      </c>
    </row>
    <row r="84" spans="1:4" x14ac:dyDescent="0.2">
      <c r="A84" t="s">
        <v>805</v>
      </c>
      <c r="B84">
        <v>792</v>
      </c>
      <c r="C84">
        <v>1.0333333333333323</v>
      </c>
      <c r="D84">
        <v>10.0984848484848</v>
      </c>
    </row>
    <row r="85" spans="1:4" x14ac:dyDescent="0.2">
      <c r="A85" t="s">
        <v>806</v>
      </c>
      <c r="B85">
        <v>784</v>
      </c>
      <c r="C85">
        <v>0.96795918367346745</v>
      </c>
      <c r="D85">
        <v>11.112244897959149</v>
      </c>
    </row>
    <row r="86" spans="1:4" x14ac:dyDescent="0.2">
      <c r="A86" t="s">
        <v>807</v>
      </c>
      <c r="B86">
        <v>776</v>
      </c>
      <c r="C86">
        <v>0.93</v>
      </c>
      <c r="D86">
        <v>10.438144329896851</v>
      </c>
    </row>
    <row r="87" spans="1:4" x14ac:dyDescent="0.2">
      <c r="A87" t="s">
        <v>808</v>
      </c>
      <c r="B87">
        <v>768</v>
      </c>
      <c r="C87">
        <v>1.2399999999999969</v>
      </c>
      <c r="D87">
        <v>22.03906249999995</v>
      </c>
    </row>
    <row r="88" spans="1:4" x14ac:dyDescent="0.2">
      <c r="A88" t="s">
        <v>809</v>
      </c>
      <c r="B88">
        <v>768</v>
      </c>
      <c r="C88">
        <v>0.99781249999999388</v>
      </c>
      <c r="D88">
        <v>21.7265625</v>
      </c>
    </row>
    <row r="89" spans="1:4" x14ac:dyDescent="0.2">
      <c r="A89" t="s">
        <v>810</v>
      </c>
      <c r="B89">
        <v>752</v>
      </c>
      <c r="C89">
        <v>1.5730851063829718</v>
      </c>
      <c r="D89">
        <v>21.917553191489326</v>
      </c>
    </row>
    <row r="90" spans="1:4" x14ac:dyDescent="0.2">
      <c r="A90" t="s">
        <v>811</v>
      </c>
      <c r="B90">
        <v>752</v>
      </c>
      <c r="C90">
        <v>1.256489361702124</v>
      </c>
      <c r="D90">
        <v>15.39095744680845</v>
      </c>
    </row>
    <row r="91" spans="1:4" x14ac:dyDescent="0.2">
      <c r="A91" t="s">
        <v>812</v>
      </c>
      <c r="B91">
        <v>752</v>
      </c>
      <c r="C91">
        <v>1.3455319148936098</v>
      </c>
      <c r="D91">
        <v>19.484042553191475</v>
      </c>
    </row>
    <row r="92" spans="1:4" x14ac:dyDescent="0.2">
      <c r="A92" t="s">
        <v>813</v>
      </c>
      <c r="B92">
        <v>752</v>
      </c>
      <c r="C92">
        <v>0.93989361702127627</v>
      </c>
      <c r="D92">
        <v>4.2047872340425503</v>
      </c>
    </row>
    <row r="93" spans="1:4" x14ac:dyDescent="0.2">
      <c r="A93" t="s">
        <v>814</v>
      </c>
      <c r="B93">
        <v>744</v>
      </c>
      <c r="C93">
        <v>0.9699999999999982</v>
      </c>
      <c r="D93">
        <v>17.806451612903174</v>
      </c>
    </row>
    <row r="94" spans="1:4" x14ac:dyDescent="0.2">
      <c r="A94" t="s">
        <v>815</v>
      </c>
      <c r="B94">
        <v>736</v>
      </c>
      <c r="C94">
        <v>0.93</v>
      </c>
      <c r="D94">
        <v>9.8885869565217011</v>
      </c>
    </row>
    <row r="95" spans="1:4" x14ac:dyDescent="0.2">
      <c r="A95" t="s">
        <v>816</v>
      </c>
      <c r="B95">
        <v>736</v>
      </c>
      <c r="C95">
        <v>1.0007608695652088</v>
      </c>
      <c r="D95">
        <v>14.331521739130425</v>
      </c>
    </row>
    <row r="96" spans="1:4" x14ac:dyDescent="0.2">
      <c r="A96" t="s">
        <v>817</v>
      </c>
      <c r="B96">
        <v>712</v>
      </c>
      <c r="C96">
        <v>1.3897752808988764</v>
      </c>
      <c r="D96">
        <v>15.985955056179751</v>
      </c>
    </row>
    <row r="97" spans="1:4" x14ac:dyDescent="0.2">
      <c r="A97" t="s">
        <v>818</v>
      </c>
      <c r="B97">
        <v>704</v>
      </c>
      <c r="C97">
        <v>0.97227272727272229</v>
      </c>
      <c r="D97">
        <v>27.613636363636349</v>
      </c>
    </row>
    <row r="98" spans="1:4" x14ac:dyDescent="0.2">
      <c r="A98" t="s">
        <v>819</v>
      </c>
      <c r="B98">
        <v>688</v>
      </c>
      <c r="C98">
        <v>0.98406976744185959</v>
      </c>
      <c r="D98">
        <v>18.0610465116279</v>
      </c>
    </row>
    <row r="99" spans="1:4" x14ac:dyDescent="0.2">
      <c r="A99" t="s">
        <v>820</v>
      </c>
      <c r="B99">
        <v>688</v>
      </c>
      <c r="C99">
        <v>0.93</v>
      </c>
      <c r="D99">
        <v>9.1918604651162248</v>
      </c>
    </row>
    <row r="100" spans="1:4" x14ac:dyDescent="0.2">
      <c r="A100" t="s">
        <v>821</v>
      </c>
      <c r="B100">
        <v>680</v>
      </c>
      <c r="C100">
        <v>0.95188235294117107</v>
      </c>
      <c r="D100">
        <v>7.1470588235294104</v>
      </c>
    </row>
    <row r="101" spans="1:4" x14ac:dyDescent="0.2">
      <c r="A101" t="s">
        <v>822</v>
      </c>
      <c r="B101">
        <v>672</v>
      </c>
      <c r="C101">
        <v>1.3064285714285671</v>
      </c>
      <c r="D101">
        <v>19.9553571428571</v>
      </c>
    </row>
    <row r="102" spans="1:4" x14ac:dyDescent="0.2">
      <c r="A102" t="s">
        <v>823</v>
      </c>
      <c r="B102">
        <v>664</v>
      </c>
      <c r="C102">
        <v>0.97481927710842686</v>
      </c>
      <c r="D102">
        <v>22.599397590361423</v>
      </c>
    </row>
    <row r="103" spans="1:4" x14ac:dyDescent="0.2">
      <c r="A103" t="s">
        <v>824</v>
      </c>
      <c r="B103">
        <v>656</v>
      </c>
      <c r="C103">
        <v>0.93</v>
      </c>
      <c r="D103">
        <v>9.0365853658536004</v>
      </c>
    </row>
    <row r="104" spans="1:4" x14ac:dyDescent="0.2">
      <c r="A104" t="s">
        <v>825</v>
      </c>
      <c r="B104">
        <v>656</v>
      </c>
      <c r="C104">
        <v>1.4176829268292599</v>
      </c>
      <c r="D104">
        <v>14.963414634146325</v>
      </c>
    </row>
    <row r="105" spans="1:4" x14ac:dyDescent="0.2">
      <c r="A105" t="s">
        <v>826</v>
      </c>
      <c r="B105">
        <v>656</v>
      </c>
      <c r="C105">
        <v>1.0207317073170674</v>
      </c>
      <c r="D105">
        <v>14.048780487804823</v>
      </c>
    </row>
    <row r="106" spans="1:4" x14ac:dyDescent="0.2">
      <c r="A106" t="s">
        <v>827</v>
      </c>
      <c r="B106">
        <v>656</v>
      </c>
      <c r="C106">
        <v>0.98670731707316384</v>
      </c>
      <c r="D106">
        <v>7.0152439024390203</v>
      </c>
    </row>
    <row r="107" spans="1:4" x14ac:dyDescent="0.2">
      <c r="A107" t="s">
        <v>828</v>
      </c>
      <c r="B107">
        <v>632</v>
      </c>
      <c r="C107">
        <v>1.012405063291131</v>
      </c>
      <c r="D107">
        <v>11.297468354430375</v>
      </c>
    </row>
    <row r="108" spans="1:4" x14ac:dyDescent="0.2">
      <c r="A108" t="s">
        <v>829</v>
      </c>
      <c r="B108">
        <v>624</v>
      </c>
      <c r="C108">
        <v>0.94192307692307442</v>
      </c>
      <c r="D108">
        <v>18.259615384615351</v>
      </c>
    </row>
    <row r="109" spans="1:4" x14ac:dyDescent="0.2">
      <c r="A109" t="s">
        <v>830</v>
      </c>
      <c r="B109">
        <v>616</v>
      </c>
      <c r="C109">
        <v>0.94207792207791929</v>
      </c>
      <c r="D109">
        <v>15.896103896103824</v>
      </c>
    </row>
    <row r="110" spans="1:4" x14ac:dyDescent="0.2">
      <c r="A110" t="s">
        <v>831</v>
      </c>
      <c r="B110">
        <v>616</v>
      </c>
      <c r="C110">
        <v>0.91792207792207792</v>
      </c>
      <c r="D110">
        <v>10.509740259740251</v>
      </c>
    </row>
    <row r="111" spans="1:4" x14ac:dyDescent="0.2">
      <c r="A111" t="s">
        <v>832</v>
      </c>
      <c r="B111">
        <v>608</v>
      </c>
      <c r="C111">
        <v>1.6152631578947296</v>
      </c>
      <c r="D111">
        <v>21.04934210526315</v>
      </c>
    </row>
    <row r="112" spans="1:4" x14ac:dyDescent="0.2">
      <c r="A112" t="s">
        <v>833</v>
      </c>
      <c r="B112">
        <v>584</v>
      </c>
      <c r="C112">
        <v>1.0701369863013612</v>
      </c>
      <c r="D112">
        <v>5.4554794520547905</v>
      </c>
    </row>
    <row r="113" spans="1:4" x14ac:dyDescent="0.2">
      <c r="A113" t="s">
        <v>834</v>
      </c>
      <c r="B113">
        <v>584</v>
      </c>
      <c r="C113">
        <v>0.91726027397260212</v>
      </c>
      <c r="D113">
        <v>19.643835616438349</v>
      </c>
    </row>
    <row r="114" spans="1:4" x14ac:dyDescent="0.2">
      <c r="A114" t="s">
        <v>835</v>
      </c>
      <c r="B114">
        <v>584</v>
      </c>
      <c r="C114">
        <v>1.0064383561643764</v>
      </c>
      <c r="D114">
        <v>7.140410958904102</v>
      </c>
    </row>
    <row r="115" spans="1:4" x14ac:dyDescent="0.2">
      <c r="A115" t="s">
        <v>836</v>
      </c>
      <c r="B115">
        <v>576</v>
      </c>
      <c r="C115">
        <v>0.96874999999999389</v>
      </c>
      <c r="D115">
        <v>10.57291666666665</v>
      </c>
    </row>
    <row r="116" spans="1:4" x14ac:dyDescent="0.2">
      <c r="A116" t="s">
        <v>837</v>
      </c>
      <c r="B116">
        <v>560</v>
      </c>
      <c r="C116">
        <v>1.3551428571428505</v>
      </c>
      <c r="D116">
        <v>22.992857142857101</v>
      </c>
    </row>
    <row r="117" spans="1:4" x14ac:dyDescent="0.2">
      <c r="A117" t="s">
        <v>838</v>
      </c>
      <c r="B117">
        <v>560</v>
      </c>
      <c r="C117">
        <v>1.1957142857142804</v>
      </c>
      <c r="D117">
        <v>8.6999999999999993</v>
      </c>
    </row>
    <row r="118" spans="1:4" x14ac:dyDescent="0.2">
      <c r="A118" t="s">
        <v>839</v>
      </c>
      <c r="B118">
        <v>552</v>
      </c>
      <c r="C118">
        <v>1.2265217391304302</v>
      </c>
      <c r="D118">
        <v>15.510869565217348</v>
      </c>
    </row>
    <row r="119" spans="1:4" x14ac:dyDescent="0.2">
      <c r="A119" t="s">
        <v>840</v>
      </c>
      <c r="B119">
        <v>536</v>
      </c>
      <c r="C119">
        <v>1.5268656716417823</v>
      </c>
      <c r="D119">
        <v>11.1828358208955</v>
      </c>
    </row>
    <row r="120" spans="1:4" x14ac:dyDescent="0.2">
      <c r="A120" t="s">
        <v>841</v>
      </c>
      <c r="B120">
        <v>528</v>
      </c>
      <c r="C120">
        <v>0.90181818181818119</v>
      </c>
      <c r="D120">
        <v>7.4431818181818148</v>
      </c>
    </row>
    <row r="121" spans="1:4" x14ac:dyDescent="0.2">
      <c r="A121" t="s">
        <v>842</v>
      </c>
      <c r="B121">
        <v>520</v>
      </c>
      <c r="C121">
        <v>1.9315384615384552</v>
      </c>
      <c r="D121">
        <v>13.55769230769225</v>
      </c>
    </row>
    <row r="122" spans="1:4" x14ac:dyDescent="0.2">
      <c r="A122" t="s">
        <v>843</v>
      </c>
      <c r="B122">
        <v>512</v>
      </c>
      <c r="C122">
        <v>0.97359375000000004</v>
      </c>
      <c r="D122">
        <v>2.203125</v>
      </c>
    </row>
    <row r="123" spans="1:4" x14ac:dyDescent="0.2">
      <c r="A123" t="s">
        <v>844</v>
      </c>
      <c r="B123">
        <v>512</v>
      </c>
      <c r="C123">
        <v>1.3078125</v>
      </c>
      <c r="D123">
        <v>23.82421875</v>
      </c>
    </row>
    <row r="124" spans="1:4" x14ac:dyDescent="0.2">
      <c r="A124" t="s">
        <v>845</v>
      </c>
      <c r="B124">
        <v>504</v>
      </c>
      <c r="C124">
        <v>1.7566666666666584</v>
      </c>
      <c r="D124">
        <v>8.2023809523809241</v>
      </c>
    </row>
    <row r="125" spans="1:4" x14ac:dyDescent="0.2">
      <c r="A125" t="s">
        <v>846</v>
      </c>
      <c r="B125">
        <v>504</v>
      </c>
      <c r="C125">
        <v>1.549999999999994</v>
      </c>
      <c r="D125">
        <v>33.464285714285701</v>
      </c>
    </row>
    <row r="126" spans="1:4" x14ac:dyDescent="0.2">
      <c r="A126" t="s">
        <v>847</v>
      </c>
      <c r="B126">
        <v>504</v>
      </c>
      <c r="C126">
        <v>1.1957142857142804</v>
      </c>
      <c r="D126">
        <v>15.654761904761848</v>
      </c>
    </row>
    <row r="127" spans="1:4" x14ac:dyDescent="0.2">
      <c r="A127" t="s">
        <v>848</v>
      </c>
      <c r="B127">
        <v>504</v>
      </c>
      <c r="C127">
        <v>0.97428571428570721</v>
      </c>
      <c r="D127">
        <v>6.5714285714285694</v>
      </c>
    </row>
    <row r="128" spans="1:4" x14ac:dyDescent="0.2">
      <c r="A128" t="s">
        <v>849</v>
      </c>
      <c r="B128">
        <v>480</v>
      </c>
      <c r="C128">
        <v>1.395</v>
      </c>
      <c r="D128">
        <v>28.762500000000003</v>
      </c>
    </row>
    <row r="129" spans="1:4" x14ac:dyDescent="0.2">
      <c r="A129" t="s">
        <v>850</v>
      </c>
      <c r="B129">
        <v>480</v>
      </c>
      <c r="C129">
        <v>1.2864999999999969</v>
      </c>
      <c r="D129">
        <v>13.137499999999951</v>
      </c>
    </row>
    <row r="130" spans="1:4" x14ac:dyDescent="0.2">
      <c r="A130" t="s">
        <v>851</v>
      </c>
      <c r="B130">
        <v>480</v>
      </c>
      <c r="C130">
        <v>1.4880000000000002</v>
      </c>
      <c r="D130">
        <v>14.56249999999995</v>
      </c>
    </row>
    <row r="131" spans="1:4" x14ac:dyDescent="0.2">
      <c r="A131" t="s">
        <v>852</v>
      </c>
      <c r="B131">
        <v>464</v>
      </c>
      <c r="C131">
        <v>0.97810344827585793</v>
      </c>
      <c r="D131">
        <v>4.7586206896551673</v>
      </c>
    </row>
    <row r="132" spans="1:4" x14ac:dyDescent="0.2">
      <c r="A132" t="s">
        <v>853</v>
      </c>
      <c r="B132">
        <v>456</v>
      </c>
      <c r="C132">
        <v>0.83210526315789468</v>
      </c>
      <c r="D132">
        <v>9.1710526315788741</v>
      </c>
    </row>
    <row r="133" spans="1:4" x14ac:dyDescent="0.2">
      <c r="A133" t="s">
        <v>854</v>
      </c>
      <c r="B133">
        <v>456</v>
      </c>
      <c r="C133">
        <v>0.79947368421052589</v>
      </c>
      <c r="D133">
        <v>24.960526315789426</v>
      </c>
    </row>
    <row r="134" spans="1:4" x14ac:dyDescent="0.2">
      <c r="A134" t="s">
        <v>855</v>
      </c>
      <c r="B134">
        <v>456</v>
      </c>
      <c r="C134">
        <v>1.3215789473684143</v>
      </c>
      <c r="D134">
        <v>14.842105263157874</v>
      </c>
    </row>
    <row r="135" spans="1:4" x14ac:dyDescent="0.2">
      <c r="A135" t="s">
        <v>856</v>
      </c>
      <c r="B135">
        <v>448</v>
      </c>
      <c r="C135">
        <v>1.0130357142857103</v>
      </c>
      <c r="D135">
        <v>12.816964285714276</v>
      </c>
    </row>
    <row r="136" spans="1:4" x14ac:dyDescent="0.2">
      <c r="A136" t="s">
        <v>857</v>
      </c>
      <c r="B136">
        <v>448</v>
      </c>
      <c r="C136">
        <v>1.3451785714285702</v>
      </c>
      <c r="D136">
        <v>13.165178571428548</v>
      </c>
    </row>
    <row r="137" spans="1:4" x14ac:dyDescent="0.2">
      <c r="A137" t="s">
        <v>858</v>
      </c>
      <c r="B137">
        <v>440</v>
      </c>
      <c r="C137">
        <v>1.3189090909090833</v>
      </c>
      <c r="D137">
        <v>16.459090909090875</v>
      </c>
    </row>
    <row r="138" spans="1:4" x14ac:dyDescent="0.2">
      <c r="A138" t="s">
        <v>859</v>
      </c>
      <c r="B138">
        <v>440</v>
      </c>
      <c r="C138">
        <v>0.9130909090909084</v>
      </c>
      <c r="D138">
        <v>6.4909090909090885</v>
      </c>
    </row>
    <row r="139" spans="1:4" x14ac:dyDescent="0.2">
      <c r="A139" t="s">
        <v>860</v>
      </c>
      <c r="B139">
        <v>440</v>
      </c>
      <c r="C139">
        <v>1.335818181818176</v>
      </c>
      <c r="D139">
        <v>11.41363636363635</v>
      </c>
    </row>
    <row r="140" spans="1:4" x14ac:dyDescent="0.2">
      <c r="A140" t="s">
        <v>861</v>
      </c>
      <c r="B140">
        <v>424</v>
      </c>
      <c r="C140">
        <v>1.0879245283018804</v>
      </c>
      <c r="D140">
        <v>5.2924528301886751</v>
      </c>
    </row>
    <row r="141" spans="1:4" x14ac:dyDescent="0.2">
      <c r="A141" t="s">
        <v>862</v>
      </c>
      <c r="B141">
        <v>424</v>
      </c>
      <c r="C141">
        <v>1.3160377358490554</v>
      </c>
      <c r="D141">
        <v>17.221698113207477</v>
      </c>
    </row>
    <row r="142" spans="1:4" x14ac:dyDescent="0.2">
      <c r="A142" t="s">
        <v>863</v>
      </c>
      <c r="B142">
        <v>424</v>
      </c>
      <c r="C142">
        <v>0.96509433962263802</v>
      </c>
      <c r="D142">
        <v>8.0518867924527751</v>
      </c>
    </row>
    <row r="143" spans="1:4" x14ac:dyDescent="0.2">
      <c r="A143" t="s">
        <v>864</v>
      </c>
      <c r="B143">
        <v>424</v>
      </c>
      <c r="C143">
        <v>1.2809433962264081</v>
      </c>
      <c r="D143">
        <v>18.877358490566024</v>
      </c>
    </row>
    <row r="144" spans="1:4" x14ac:dyDescent="0.2">
      <c r="A144" t="s">
        <v>865</v>
      </c>
      <c r="B144">
        <v>416</v>
      </c>
      <c r="C144">
        <v>1.001538461538455</v>
      </c>
      <c r="D144">
        <v>30.576923076923027</v>
      </c>
    </row>
    <row r="145" spans="1:4" x14ac:dyDescent="0.2">
      <c r="A145" t="s">
        <v>866</v>
      </c>
      <c r="B145">
        <v>400</v>
      </c>
      <c r="C145">
        <v>0.96720000000000006</v>
      </c>
      <c r="D145">
        <v>35.085000000000001</v>
      </c>
    </row>
    <row r="146" spans="1:4" x14ac:dyDescent="0.2">
      <c r="A146" t="s">
        <v>867</v>
      </c>
      <c r="B146">
        <v>384</v>
      </c>
      <c r="C146">
        <v>0.93</v>
      </c>
      <c r="D146">
        <v>11.4375</v>
      </c>
    </row>
    <row r="147" spans="1:4" x14ac:dyDescent="0.2">
      <c r="A147" t="s">
        <v>868</v>
      </c>
      <c r="B147">
        <v>384</v>
      </c>
      <c r="C147">
        <v>1.336875</v>
      </c>
      <c r="D147">
        <v>14.593749999999975</v>
      </c>
    </row>
    <row r="148" spans="1:4" x14ac:dyDescent="0.2">
      <c r="A148" t="s">
        <v>869</v>
      </c>
      <c r="B148">
        <v>384</v>
      </c>
      <c r="C148">
        <v>1.588749999999997</v>
      </c>
      <c r="D148">
        <v>29.687499999999975</v>
      </c>
    </row>
    <row r="149" spans="1:4" x14ac:dyDescent="0.2">
      <c r="A149" t="s">
        <v>870</v>
      </c>
      <c r="B149">
        <v>376</v>
      </c>
      <c r="C149">
        <v>0.89042553191489338</v>
      </c>
      <c r="D149">
        <v>8.8882978723404005</v>
      </c>
    </row>
    <row r="150" spans="1:4" x14ac:dyDescent="0.2">
      <c r="A150" t="s">
        <v>871</v>
      </c>
      <c r="B150">
        <v>368</v>
      </c>
      <c r="C150">
        <v>0.99065217391303617</v>
      </c>
      <c r="D150">
        <v>13.1086956521739</v>
      </c>
    </row>
    <row r="151" spans="1:4" x14ac:dyDescent="0.2">
      <c r="A151" t="s">
        <v>872</v>
      </c>
      <c r="B151">
        <v>368</v>
      </c>
      <c r="C151">
        <v>1.1119565217391272</v>
      </c>
      <c r="D151">
        <v>11.706521739130425</v>
      </c>
    </row>
    <row r="152" spans="1:4" x14ac:dyDescent="0.2">
      <c r="A152" t="s">
        <v>873</v>
      </c>
      <c r="B152">
        <v>368</v>
      </c>
      <c r="C152">
        <v>0.90978260869565186</v>
      </c>
      <c r="D152">
        <v>5.3641304347826022</v>
      </c>
    </row>
    <row r="153" spans="1:4" x14ac:dyDescent="0.2">
      <c r="A153" t="s">
        <v>874</v>
      </c>
      <c r="B153">
        <v>360</v>
      </c>
      <c r="C153">
        <v>1.1573333333333293</v>
      </c>
      <c r="D153">
        <v>6.4999999999999956</v>
      </c>
    </row>
    <row r="154" spans="1:4" x14ac:dyDescent="0.2">
      <c r="A154" t="s">
        <v>875</v>
      </c>
      <c r="B154">
        <v>360</v>
      </c>
      <c r="C154">
        <v>1.0126666666666584</v>
      </c>
      <c r="D154">
        <v>23.633333333333326</v>
      </c>
    </row>
    <row r="155" spans="1:4" x14ac:dyDescent="0.2">
      <c r="A155" t="s">
        <v>876</v>
      </c>
      <c r="B155">
        <v>360</v>
      </c>
      <c r="C155">
        <v>1.611999999999997</v>
      </c>
      <c r="D155">
        <v>15.433333333333277</v>
      </c>
    </row>
    <row r="156" spans="1:4" x14ac:dyDescent="0.2">
      <c r="A156" t="s">
        <v>877</v>
      </c>
      <c r="B156">
        <v>352</v>
      </c>
      <c r="C156">
        <v>1.0779545454545372</v>
      </c>
      <c r="D156">
        <v>5.6420454545454524</v>
      </c>
    </row>
    <row r="157" spans="1:4" x14ac:dyDescent="0.2">
      <c r="A157" t="s">
        <v>878</v>
      </c>
      <c r="B157">
        <v>352</v>
      </c>
      <c r="C157">
        <v>1.0568181818181759</v>
      </c>
      <c r="D157">
        <v>17.556818181818173</v>
      </c>
    </row>
    <row r="158" spans="1:4" x14ac:dyDescent="0.2">
      <c r="A158" t="s">
        <v>879</v>
      </c>
      <c r="B158">
        <v>352</v>
      </c>
      <c r="C158">
        <v>1.521818181818176</v>
      </c>
      <c r="D158">
        <v>12.409090909090875</v>
      </c>
    </row>
    <row r="159" spans="1:4" x14ac:dyDescent="0.2">
      <c r="A159" t="s">
        <v>880</v>
      </c>
      <c r="B159">
        <v>352</v>
      </c>
      <c r="C159">
        <v>1.1202272727272684</v>
      </c>
      <c r="D159">
        <v>23.556818181818173</v>
      </c>
    </row>
    <row r="160" spans="1:4" x14ac:dyDescent="0.2">
      <c r="A160" t="s">
        <v>881</v>
      </c>
      <c r="B160">
        <v>344</v>
      </c>
      <c r="C160">
        <v>0.8002325581395342</v>
      </c>
      <c r="D160">
        <v>4.3081395348837148</v>
      </c>
    </row>
    <row r="161" spans="1:4" x14ac:dyDescent="0.2">
      <c r="A161" t="s">
        <v>882</v>
      </c>
      <c r="B161">
        <v>336</v>
      </c>
      <c r="C161">
        <v>0.8635714285714281</v>
      </c>
      <c r="D161">
        <v>19.660714285714278</v>
      </c>
    </row>
    <row r="162" spans="1:4" x14ac:dyDescent="0.2">
      <c r="A162" t="s">
        <v>883</v>
      </c>
      <c r="B162">
        <v>336</v>
      </c>
      <c r="C162">
        <v>0.88571428571428545</v>
      </c>
      <c r="D162">
        <v>4.7321428571428505</v>
      </c>
    </row>
    <row r="163" spans="1:4" x14ac:dyDescent="0.2">
      <c r="A163" t="s">
        <v>884</v>
      </c>
      <c r="B163">
        <v>336</v>
      </c>
      <c r="C163">
        <v>1.3728571428571372</v>
      </c>
      <c r="D163">
        <v>11.625</v>
      </c>
    </row>
    <row r="164" spans="1:4" x14ac:dyDescent="0.2">
      <c r="A164" t="s">
        <v>885</v>
      </c>
      <c r="B164">
        <v>336</v>
      </c>
      <c r="C164">
        <v>1.084999999999994</v>
      </c>
      <c r="D164">
        <v>23.874999999999975</v>
      </c>
    </row>
    <row r="165" spans="1:4" x14ac:dyDescent="0.2">
      <c r="A165" t="s">
        <v>886</v>
      </c>
      <c r="B165">
        <v>328</v>
      </c>
      <c r="C165">
        <v>1.0434146341463366</v>
      </c>
      <c r="D165">
        <v>12.201219512195099</v>
      </c>
    </row>
    <row r="166" spans="1:4" x14ac:dyDescent="0.2">
      <c r="A166" t="s">
        <v>887</v>
      </c>
      <c r="B166">
        <v>328</v>
      </c>
      <c r="C166">
        <v>0.90731707317073174</v>
      </c>
      <c r="D166">
        <v>8.7621951219511498</v>
      </c>
    </row>
    <row r="167" spans="1:4" x14ac:dyDescent="0.2">
      <c r="A167" t="s">
        <v>888</v>
      </c>
      <c r="B167">
        <v>328</v>
      </c>
      <c r="C167">
        <v>1.2702439024390193</v>
      </c>
      <c r="D167">
        <v>10.591463414634076</v>
      </c>
    </row>
    <row r="168" spans="1:4" x14ac:dyDescent="0.2">
      <c r="A168" t="s">
        <v>889</v>
      </c>
      <c r="B168">
        <v>328</v>
      </c>
      <c r="C168">
        <v>0.81658536585365771</v>
      </c>
      <c r="D168">
        <v>2.0670731707317</v>
      </c>
    </row>
    <row r="169" spans="1:4" x14ac:dyDescent="0.2">
      <c r="A169" t="s">
        <v>890</v>
      </c>
      <c r="B169">
        <v>328</v>
      </c>
      <c r="C169">
        <v>0.74853658536585288</v>
      </c>
      <c r="D169">
        <v>1.9756097560975574</v>
      </c>
    </row>
    <row r="170" spans="1:4" x14ac:dyDescent="0.2">
      <c r="A170" t="s">
        <v>891</v>
      </c>
      <c r="B170">
        <v>320</v>
      </c>
      <c r="C170">
        <v>0.83700000000000008</v>
      </c>
      <c r="D170">
        <v>3.7687500000000003</v>
      </c>
    </row>
    <row r="171" spans="1:4" x14ac:dyDescent="0.2">
      <c r="A171" t="s">
        <v>892</v>
      </c>
      <c r="B171">
        <v>320</v>
      </c>
      <c r="C171">
        <v>0.79049999999999998</v>
      </c>
      <c r="D171">
        <v>2.7562499999999996</v>
      </c>
    </row>
    <row r="172" spans="1:4" x14ac:dyDescent="0.2">
      <c r="A172" t="s">
        <v>893</v>
      </c>
      <c r="B172">
        <v>320</v>
      </c>
      <c r="C172">
        <v>1.0230000000000001</v>
      </c>
      <c r="D172">
        <v>15.299999999999999</v>
      </c>
    </row>
    <row r="173" spans="1:4" x14ac:dyDescent="0.2">
      <c r="A173" t="s">
        <v>894</v>
      </c>
      <c r="B173">
        <v>320</v>
      </c>
      <c r="C173">
        <v>0.79049999999999998</v>
      </c>
      <c r="D173">
        <v>2.1749999999999998</v>
      </c>
    </row>
    <row r="174" spans="1:4" x14ac:dyDescent="0.2">
      <c r="A174" t="s">
        <v>895</v>
      </c>
      <c r="B174">
        <v>320</v>
      </c>
      <c r="C174">
        <v>1.0694999999999999</v>
      </c>
      <c r="D174">
        <v>27.806250000000002</v>
      </c>
    </row>
    <row r="175" spans="1:4" x14ac:dyDescent="0.2">
      <c r="A175" t="s">
        <v>896</v>
      </c>
      <c r="B175">
        <v>312</v>
      </c>
      <c r="C175">
        <v>0.78692307692307684</v>
      </c>
      <c r="D175">
        <v>2.0576923076923048</v>
      </c>
    </row>
    <row r="176" spans="1:4" x14ac:dyDescent="0.2">
      <c r="A176" t="s">
        <v>897</v>
      </c>
      <c r="B176">
        <v>312</v>
      </c>
      <c r="C176">
        <v>1.7407692307692293</v>
      </c>
      <c r="D176">
        <v>15.384615384615376</v>
      </c>
    </row>
    <row r="177" spans="1:4" x14ac:dyDescent="0.2">
      <c r="A177" t="s">
        <v>898</v>
      </c>
      <c r="B177">
        <v>312</v>
      </c>
      <c r="C177">
        <v>0.78692307692307684</v>
      </c>
      <c r="D177">
        <v>2.0192307692307674</v>
      </c>
    </row>
    <row r="178" spans="1:4" x14ac:dyDescent="0.2">
      <c r="A178" t="s">
        <v>899</v>
      </c>
      <c r="B178">
        <v>312</v>
      </c>
      <c r="C178">
        <v>0.90615384615384587</v>
      </c>
      <c r="D178">
        <v>14.230769230769175</v>
      </c>
    </row>
    <row r="179" spans="1:4" x14ac:dyDescent="0.2">
      <c r="A179" t="s">
        <v>900</v>
      </c>
      <c r="B179">
        <v>312</v>
      </c>
      <c r="C179">
        <v>0.8584615384615385</v>
      </c>
      <c r="D179">
        <v>4.4615384615384546</v>
      </c>
    </row>
    <row r="180" spans="1:4" x14ac:dyDescent="0.2">
      <c r="A180" t="s">
        <v>901</v>
      </c>
      <c r="B180">
        <v>312</v>
      </c>
      <c r="C180">
        <v>1.4784615384615296</v>
      </c>
      <c r="D180">
        <v>14.40384615384615</v>
      </c>
    </row>
    <row r="181" spans="1:4" x14ac:dyDescent="0.2">
      <c r="A181" t="s">
        <v>902</v>
      </c>
      <c r="B181">
        <v>312</v>
      </c>
      <c r="C181">
        <v>0.81076923076923013</v>
      </c>
      <c r="D181">
        <v>9.1923076923076508</v>
      </c>
    </row>
    <row r="182" spans="1:4" x14ac:dyDescent="0.2">
      <c r="A182" t="s">
        <v>903</v>
      </c>
      <c r="B182">
        <v>312</v>
      </c>
      <c r="C182">
        <v>1.5261538461538453</v>
      </c>
      <c r="D182">
        <v>17.615384615384549</v>
      </c>
    </row>
    <row r="183" spans="1:4" x14ac:dyDescent="0.2">
      <c r="A183" t="s">
        <v>904</v>
      </c>
      <c r="B183">
        <v>304</v>
      </c>
      <c r="C183">
        <v>0.97894736842104479</v>
      </c>
      <c r="D183">
        <v>10.401315789473625</v>
      </c>
    </row>
    <row r="184" spans="1:4" x14ac:dyDescent="0.2">
      <c r="A184" t="s">
        <v>905</v>
      </c>
      <c r="B184">
        <v>304</v>
      </c>
      <c r="C184">
        <v>0.88105263157894687</v>
      </c>
      <c r="D184">
        <v>7.5</v>
      </c>
    </row>
    <row r="185" spans="1:4" x14ac:dyDescent="0.2">
      <c r="A185" t="s">
        <v>906</v>
      </c>
      <c r="B185">
        <v>304</v>
      </c>
      <c r="C185">
        <v>1.1747368421052613</v>
      </c>
      <c r="D185">
        <v>3.9078947368421026</v>
      </c>
    </row>
    <row r="186" spans="1:4" x14ac:dyDescent="0.2">
      <c r="A186" t="s">
        <v>907</v>
      </c>
      <c r="B186">
        <v>304</v>
      </c>
      <c r="C186">
        <v>1.4439473684210449</v>
      </c>
      <c r="D186">
        <v>22.875</v>
      </c>
    </row>
    <row r="187" spans="1:4" x14ac:dyDescent="0.2">
      <c r="A187" t="s">
        <v>908</v>
      </c>
      <c r="B187">
        <v>304</v>
      </c>
      <c r="C187">
        <v>1.4194736842105224</v>
      </c>
      <c r="D187">
        <v>7.6184210526315752</v>
      </c>
    </row>
    <row r="188" spans="1:4" x14ac:dyDescent="0.2">
      <c r="A188" t="s">
        <v>909</v>
      </c>
      <c r="B188">
        <v>304</v>
      </c>
      <c r="C188">
        <v>1.4439473684210449</v>
      </c>
      <c r="D188">
        <v>14.25</v>
      </c>
    </row>
    <row r="189" spans="1:4" x14ac:dyDescent="0.2">
      <c r="A189" t="s">
        <v>910</v>
      </c>
      <c r="B189">
        <v>304</v>
      </c>
      <c r="C189">
        <v>1.4928947368420991</v>
      </c>
      <c r="D189">
        <v>14.6447368421052</v>
      </c>
    </row>
    <row r="190" spans="1:4" x14ac:dyDescent="0.2">
      <c r="A190" t="s">
        <v>911</v>
      </c>
      <c r="B190">
        <v>304</v>
      </c>
      <c r="C190">
        <v>1.1502631578947295</v>
      </c>
      <c r="D190">
        <v>8.7236842105263008</v>
      </c>
    </row>
    <row r="191" spans="1:4" x14ac:dyDescent="0.2">
      <c r="A191" t="s">
        <v>912</v>
      </c>
      <c r="B191">
        <v>296</v>
      </c>
      <c r="C191">
        <v>1.080810810810809</v>
      </c>
      <c r="D191">
        <v>10.905405405405375</v>
      </c>
    </row>
    <row r="192" spans="1:4" x14ac:dyDescent="0.2">
      <c r="A192" t="s">
        <v>913</v>
      </c>
      <c r="B192">
        <v>296</v>
      </c>
      <c r="C192">
        <v>1.7091891891891819</v>
      </c>
      <c r="D192">
        <v>22.277027027027025</v>
      </c>
    </row>
    <row r="193" spans="1:4" x14ac:dyDescent="0.2">
      <c r="A193" t="s">
        <v>914</v>
      </c>
      <c r="B193">
        <v>296</v>
      </c>
      <c r="C193">
        <v>0.77918918918918845</v>
      </c>
      <c r="D193">
        <v>2.2094594594594548</v>
      </c>
    </row>
    <row r="194" spans="1:4" x14ac:dyDescent="0.2">
      <c r="A194" t="s">
        <v>915</v>
      </c>
      <c r="B194">
        <v>296</v>
      </c>
      <c r="C194">
        <v>1.0054054054054045</v>
      </c>
      <c r="D194">
        <v>16.763513513513477</v>
      </c>
    </row>
    <row r="195" spans="1:4" x14ac:dyDescent="0.2">
      <c r="A195" t="s">
        <v>916</v>
      </c>
      <c r="B195">
        <v>296</v>
      </c>
      <c r="C195">
        <v>0.82945945945945865</v>
      </c>
      <c r="D195">
        <v>2.3716216216216202</v>
      </c>
    </row>
    <row r="196" spans="1:4" x14ac:dyDescent="0.2">
      <c r="A196" t="s">
        <v>917</v>
      </c>
      <c r="B196">
        <v>296</v>
      </c>
      <c r="C196">
        <v>0.75405405405405335</v>
      </c>
      <c r="D196">
        <v>2.0472972972972974</v>
      </c>
    </row>
    <row r="197" spans="1:4" x14ac:dyDescent="0.2">
      <c r="A197" t="s">
        <v>918</v>
      </c>
      <c r="B197">
        <v>288</v>
      </c>
      <c r="C197">
        <v>0.85249999999999937</v>
      </c>
      <c r="D197">
        <v>22.770833333333325</v>
      </c>
    </row>
    <row r="198" spans="1:4" x14ac:dyDescent="0.2">
      <c r="A198" t="s">
        <v>919</v>
      </c>
      <c r="B198">
        <v>288</v>
      </c>
      <c r="C198">
        <v>1.4466666666666617</v>
      </c>
      <c r="D198">
        <v>14.520833333333325</v>
      </c>
    </row>
    <row r="199" spans="1:4" x14ac:dyDescent="0.2">
      <c r="A199" t="s">
        <v>920</v>
      </c>
      <c r="B199">
        <v>288</v>
      </c>
      <c r="C199">
        <v>1.3174999999999939</v>
      </c>
      <c r="D199">
        <v>15</v>
      </c>
    </row>
    <row r="200" spans="1:4" x14ac:dyDescent="0.2">
      <c r="A200" t="s">
        <v>921</v>
      </c>
      <c r="B200">
        <v>288</v>
      </c>
      <c r="C200">
        <v>0.93</v>
      </c>
      <c r="D200">
        <v>17.145833333333325</v>
      </c>
    </row>
    <row r="201" spans="1:4" x14ac:dyDescent="0.2">
      <c r="A201" t="s">
        <v>922</v>
      </c>
      <c r="B201">
        <v>280</v>
      </c>
      <c r="C201">
        <v>1.3285714285714205</v>
      </c>
      <c r="D201">
        <v>8.2928571428571001</v>
      </c>
    </row>
    <row r="202" spans="1:4" x14ac:dyDescent="0.2">
      <c r="A202" t="s">
        <v>923</v>
      </c>
      <c r="B202">
        <v>280</v>
      </c>
      <c r="C202">
        <v>0.95657142857142063</v>
      </c>
      <c r="D202">
        <v>27.321428571428552</v>
      </c>
    </row>
    <row r="203" spans="1:4" x14ac:dyDescent="0.2">
      <c r="A203" t="s">
        <v>924</v>
      </c>
      <c r="B203">
        <v>280</v>
      </c>
      <c r="C203">
        <v>0.85028571428571409</v>
      </c>
      <c r="D203">
        <v>3.642857142857137</v>
      </c>
    </row>
    <row r="204" spans="1:4" x14ac:dyDescent="0.2">
      <c r="A204" t="s">
        <v>925</v>
      </c>
      <c r="B204">
        <v>280</v>
      </c>
      <c r="C204">
        <v>0.82371428571428507</v>
      </c>
      <c r="D204">
        <v>3.1714285714285646</v>
      </c>
    </row>
    <row r="205" spans="1:4" x14ac:dyDescent="0.2">
      <c r="A205" t="s">
        <v>926</v>
      </c>
      <c r="B205">
        <v>280</v>
      </c>
      <c r="C205">
        <v>1.1160000000000001</v>
      </c>
      <c r="D205">
        <v>13.992857142857101</v>
      </c>
    </row>
    <row r="206" spans="1:4" x14ac:dyDescent="0.2">
      <c r="A206" t="s">
        <v>927</v>
      </c>
      <c r="B206">
        <v>272</v>
      </c>
      <c r="C206">
        <v>0.79323529411764682</v>
      </c>
      <c r="D206">
        <v>2.9558823529411726</v>
      </c>
    </row>
    <row r="207" spans="1:4" x14ac:dyDescent="0.2">
      <c r="A207" t="s">
        <v>928</v>
      </c>
      <c r="B207">
        <v>272</v>
      </c>
      <c r="C207">
        <v>1.2582352941176396</v>
      </c>
      <c r="D207">
        <v>13.080882352941149</v>
      </c>
    </row>
    <row r="208" spans="1:4" x14ac:dyDescent="0.2">
      <c r="A208" t="s">
        <v>929</v>
      </c>
      <c r="B208">
        <v>272</v>
      </c>
      <c r="C208">
        <v>0.82058823529411717</v>
      </c>
      <c r="D208">
        <v>2.117647058823525</v>
      </c>
    </row>
    <row r="209" spans="1:4" x14ac:dyDescent="0.2">
      <c r="A209" t="s">
        <v>930</v>
      </c>
      <c r="B209">
        <v>272</v>
      </c>
      <c r="C209">
        <v>1.0667647058823513</v>
      </c>
      <c r="D209">
        <v>13.588235294117625</v>
      </c>
    </row>
    <row r="210" spans="1:4" x14ac:dyDescent="0.2">
      <c r="A210" t="s">
        <v>931</v>
      </c>
      <c r="B210">
        <v>264</v>
      </c>
      <c r="C210">
        <v>0.8172727272727266</v>
      </c>
      <c r="D210">
        <v>2.2045454545454475</v>
      </c>
    </row>
    <row r="211" spans="1:4" x14ac:dyDescent="0.2">
      <c r="A211" t="s">
        <v>932</v>
      </c>
      <c r="B211">
        <v>264</v>
      </c>
      <c r="C211">
        <v>0.87363636363636332</v>
      </c>
      <c r="D211">
        <v>2.25</v>
      </c>
    </row>
    <row r="212" spans="1:4" x14ac:dyDescent="0.2">
      <c r="A212" t="s">
        <v>933</v>
      </c>
      <c r="B212">
        <v>264</v>
      </c>
      <c r="C212">
        <v>0.95818181818181802</v>
      </c>
      <c r="D212">
        <v>7.5681818181817491</v>
      </c>
    </row>
    <row r="213" spans="1:4" x14ac:dyDescent="0.2">
      <c r="A213" t="s">
        <v>934</v>
      </c>
      <c r="B213">
        <v>264</v>
      </c>
      <c r="C213">
        <v>1.521818181818176</v>
      </c>
      <c r="D213">
        <v>21.409090909090875</v>
      </c>
    </row>
    <row r="214" spans="1:4" x14ac:dyDescent="0.2">
      <c r="A214" t="s">
        <v>935</v>
      </c>
      <c r="B214">
        <v>264</v>
      </c>
      <c r="C214">
        <v>1.3809090909090864</v>
      </c>
      <c r="D214">
        <v>25.863636363636299</v>
      </c>
    </row>
    <row r="215" spans="1:4" x14ac:dyDescent="0.2">
      <c r="A215" t="s">
        <v>936</v>
      </c>
      <c r="B215">
        <v>264</v>
      </c>
      <c r="C215">
        <v>1.4090909090909045</v>
      </c>
      <c r="D215">
        <v>18.136363636363576</v>
      </c>
    </row>
    <row r="216" spans="1:4" x14ac:dyDescent="0.2">
      <c r="A216" t="s">
        <v>937</v>
      </c>
      <c r="B216">
        <v>256</v>
      </c>
      <c r="C216">
        <v>0.81375000000000008</v>
      </c>
      <c r="D216">
        <v>2.1328125</v>
      </c>
    </row>
    <row r="217" spans="1:4" x14ac:dyDescent="0.2">
      <c r="A217" t="s">
        <v>938</v>
      </c>
      <c r="B217">
        <v>256</v>
      </c>
      <c r="C217">
        <v>1.0753125000000001</v>
      </c>
      <c r="D217">
        <v>85.3828125</v>
      </c>
    </row>
    <row r="218" spans="1:4" x14ac:dyDescent="0.2">
      <c r="A218" t="s">
        <v>939</v>
      </c>
      <c r="B218">
        <v>256</v>
      </c>
      <c r="C218">
        <v>1.1915625000000001</v>
      </c>
      <c r="D218">
        <v>16.734375</v>
      </c>
    </row>
    <row r="219" spans="1:4" x14ac:dyDescent="0.2">
      <c r="A219" t="s">
        <v>940</v>
      </c>
      <c r="B219">
        <v>256</v>
      </c>
      <c r="C219">
        <v>1.1915625000000001</v>
      </c>
      <c r="D219">
        <v>13.8984375</v>
      </c>
    </row>
    <row r="220" spans="1:4" x14ac:dyDescent="0.2">
      <c r="A220" t="s">
        <v>941</v>
      </c>
      <c r="B220">
        <v>256</v>
      </c>
      <c r="C220">
        <v>1.4821875</v>
      </c>
      <c r="D220">
        <v>18.0234375</v>
      </c>
    </row>
    <row r="221" spans="1:4" x14ac:dyDescent="0.2">
      <c r="A221" t="s">
        <v>942</v>
      </c>
      <c r="B221">
        <v>256</v>
      </c>
      <c r="C221">
        <v>1.6275000000000002</v>
      </c>
      <c r="D221">
        <v>22.6171875</v>
      </c>
    </row>
    <row r="222" spans="1:4" x14ac:dyDescent="0.2">
      <c r="A222" t="s">
        <v>943</v>
      </c>
      <c r="B222">
        <v>256</v>
      </c>
      <c r="C222">
        <v>1.453125</v>
      </c>
      <c r="D222">
        <v>41.2265625</v>
      </c>
    </row>
    <row r="223" spans="1:4" x14ac:dyDescent="0.2">
      <c r="A223" t="s">
        <v>944</v>
      </c>
      <c r="B223">
        <v>256</v>
      </c>
      <c r="C223">
        <v>1.51125</v>
      </c>
      <c r="D223">
        <v>14.671875</v>
      </c>
    </row>
    <row r="224" spans="1:4" x14ac:dyDescent="0.2">
      <c r="A224" t="s">
        <v>945</v>
      </c>
      <c r="B224">
        <v>256</v>
      </c>
      <c r="C224">
        <v>0.95906250000000004</v>
      </c>
      <c r="D224">
        <v>6.046875</v>
      </c>
    </row>
    <row r="225" spans="1:4" x14ac:dyDescent="0.2">
      <c r="A225" t="s">
        <v>946</v>
      </c>
      <c r="B225">
        <v>248</v>
      </c>
      <c r="C225">
        <v>1.2899999999999923</v>
      </c>
      <c r="D225">
        <v>11.322580645161226</v>
      </c>
    </row>
    <row r="226" spans="1:4" x14ac:dyDescent="0.2">
      <c r="A226" t="s">
        <v>947</v>
      </c>
      <c r="B226">
        <v>248</v>
      </c>
      <c r="C226">
        <v>0.9</v>
      </c>
      <c r="D226">
        <v>10.064516129032199</v>
      </c>
    </row>
    <row r="227" spans="1:4" x14ac:dyDescent="0.2">
      <c r="A227" t="s">
        <v>948</v>
      </c>
      <c r="B227">
        <v>248</v>
      </c>
      <c r="C227">
        <v>0.98999999999999255</v>
      </c>
      <c r="D227">
        <v>40.838709677419352</v>
      </c>
    </row>
    <row r="228" spans="1:4" x14ac:dyDescent="0.2">
      <c r="A228" t="s">
        <v>949</v>
      </c>
      <c r="B228">
        <v>248</v>
      </c>
      <c r="C228">
        <v>1.2599999999999913</v>
      </c>
      <c r="D228">
        <v>8.6129032258064253</v>
      </c>
    </row>
    <row r="229" spans="1:4" x14ac:dyDescent="0.2">
      <c r="A229" t="s">
        <v>950</v>
      </c>
      <c r="B229">
        <v>248</v>
      </c>
      <c r="C229">
        <v>0.93</v>
      </c>
      <c r="D229">
        <v>11.733870967741876</v>
      </c>
    </row>
    <row r="230" spans="1:4" x14ac:dyDescent="0.2">
      <c r="A230" t="s">
        <v>951</v>
      </c>
      <c r="B230">
        <v>240</v>
      </c>
      <c r="C230">
        <v>0.7749999999999998</v>
      </c>
      <c r="D230">
        <v>1.7999999999999998</v>
      </c>
    </row>
    <row r="231" spans="1:4" x14ac:dyDescent="0.2">
      <c r="A231" t="s">
        <v>952</v>
      </c>
      <c r="B231">
        <v>240</v>
      </c>
      <c r="C231">
        <v>1.0539999999999969</v>
      </c>
      <c r="D231">
        <v>36.450000000000003</v>
      </c>
    </row>
    <row r="232" spans="1:4" x14ac:dyDescent="0.2">
      <c r="A232" t="s">
        <v>953</v>
      </c>
      <c r="B232">
        <v>232</v>
      </c>
      <c r="C232">
        <v>1.2506896551724076</v>
      </c>
      <c r="D232">
        <v>13.293103448275799</v>
      </c>
    </row>
    <row r="233" spans="1:4" x14ac:dyDescent="0.2">
      <c r="A233" t="s">
        <v>954</v>
      </c>
      <c r="B233">
        <v>232</v>
      </c>
      <c r="C233">
        <v>1.4110344827586163</v>
      </c>
      <c r="D233">
        <v>28.474137931034477</v>
      </c>
    </row>
    <row r="234" spans="1:4" x14ac:dyDescent="0.2">
      <c r="A234" t="s">
        <v>955</v>
      </c>
      <c r="B234">
        <v>232</v>
      </c>
      <c r="C234">
        <v>1.1544827586206827</v>
      </c>
      <c r="D234">
        <v>10.7586206896551</v>
      </c>
    </row>
    <row r="235" spans="1:4" x14ac:dyDescent="0.2">
      <c r="A235" t="s">
        <v>956</v>
      </c>
      <c r="B235">
        <v>232</v>
      </c>
      <c r="C235">
        <v>1.0582758620689576</v>
      </c>
      <c r="D235">
        <v>22.034482758620623</v>
      </c>
    </row>
    <row r="236" spans="1:4" x14ac:dyDescent="0.2">
      <c r="A236" t="s">
        <v>957</v>
      </c>
      <c r="B236">
        <v>232</v>
      </c>
      <c r="C236">
        <v>1.6034482758620665</v>
      </c>
      <c r="D236">
        <v>14.715517241379299</v>
      </c>
    </row>
    <row r="237" spans="1:4" x14ac:dyDescent="0.2">
      <c r="A237" t="s">
        <v>958</v>
      </c>
      <c r="B237">
        <v>232</v>
      </c>
      <c r="C237">
        <v>1.0903448275861993</v>
      </c>
      <c r="D237">
        <v>5.4051724137930979</v>
      </c>
    </row>
    <row r="238" spans="1:4" x14ac:dyDescent="0.2">
      <c r="A238" t="s">
        <v>959</v>
      </c>
      <c r="B238">
        <v>232</v>
      </c>
      <c r="C238">
        <v>1.3148275862068912</v>
      </c>
      <c r="D238">
        <v>25.81034482758615</v>
      </c>
    </row>
    <row r="239" spans="1:4" x14ac:dyDescent="0.2">
      <c r="A239" t="s">
        <v>960</v>
      </c>
      <c r="B239">
        <v>232</v>
      </c>
      <c r="C239">
        <v>1.4751724137930997</v>
      </c>
      <c r="D239">
        <v>15.439655172413776</v>
      </c>
    </row>
    <row r="240" spans="1:4" x14ac:dyDescent="0.2">
      <c r="A240" t="s">
        <v>961</v>
      </c>
      <c r="B240">
        <v>232</v>
      </c>
      <c r="C240">
        <v>1.2186206896551661</v>
      </c>
      <c r="D240">
        <v>18.439655172413776</v>
      </c>
    </row>
    <row r="241" spans="1:4" x14ac:dyDescent="0.2">
      <c r="A241" t="s">
        <v>962</v>
      </c>
      <c r="B241">
        <v>232</v>
      </c>
      <c r="C241">
        <v>1.4110344827586163</v>
      </c>
      <c r="D241">
        <v>22.318965517241324</v>
      </c>
    </row>
    <row r="242" spans="1:4" x14ac:dyDescent="0.2">
      <c r="A242" t="s">
        <v>963</v>
      </c>
      <c r="B242">
        <v>224</v>
      </c>
      <c r="C242">
        <v>1.2621428571428506</v>
      </c>
      <c r="D242">
        <v>8.9464285714285499</v>
      </c>
    </row>
    <row r="243" spans="1:4" x14ac:dyDescent="0.2">
      <c r="A243" t="s">
        <v>964</v>
      </c>
      <c r="B243">
        <v>224</v>
      </c>
      <c r="C243">
        <v>0.8635714285714281</v>
      </c>
      <c r="D243">
        <v>2.2232142857142825</v>
      </c>
    </row>
    <row r="244" spans="1:4" x14ac:dyDescent="0.2">
      <c r="A244" t="s">
        <v>965</v>
      </c>
      <c r="B244">
        <v>224</v>
      </c>
      <c r="C244">
        <v>1.4282142857142806</v>
      </c>
      <c r="D244">
        <v>18.053571428571374</v>
      </c>
    </row>
    <row r="245" spans="1:4" x14ac:dyDescent="0.2">
      <c r="A245" t="s">
        <v>966</v>
      </c>
      <c r="B245">
        <v>224</v>
      </c>
      <c r="C245">
        <v>1.3617857142857104</v>
      </c>
      <c r="D245">
        <v>10.473214285714274</v>
      </c>
    </row>
    <row r="246" spans="1:4" x14ac:dyDescent="0.2">
      <c r="A246" t="s">
        <v>967</v>
      </c>
      <c r="B246">
        <v>224</v>
      </c>
      <c r="C246">
        <v>1.4946428571428507</v>
      </c>
      <c r="D246">
        <v>13.794642857142826</v>
      </c>
    </row>
    <row r="247" spans="1:4" x14ac:dyDescent="0.2">
      <c r="A247" t="s">
        <v>968</v>
      </c>
      <c r="B247">
        <v>224</v>
      </c>
      <c r="C247">
        <v>1.2953571428571402</v>
      </c>
      <c r="D247">
        <v>16.0178571428571</v>
      </c>
    </row>
    <row r="248" spans="1:4" x14ac:dyDescent="0.2">
      <c r="A248" t="s">
        <v>969</v>
      </c>
      <c r="B248">
        <v>224</v>
      </c>
      <c r="C248">
        <v>0.99642857142857022</v>
      </c>
      <c r="D248">
        <v>8.0089285714285499</v>
      </c>
    </row>
    <row r="249" spans="1:4" x14ac:dyDescent="0.2">
      <c r="A249" t="s">
        <v>970</v>
      </c>
      <c r="B249">
        <v>216</v>
      </c>
      <c r="C249">
        <v>1.3433333333333293</v>
      </c>
      <c r="D249">
        <v>11.13888888888885</v>
      </c>
    </row>
    <row r="250" spans="1:4" x14ac:dyDescent="0.2">
      <c r="A250" t="s">
        <v>971</v>
      </c>
      <c r="B250">
        <v>216</v>
      </c>
      <c r="C250">
        <v>1.6188888888888884</v>
      </c>
      <c r="D250">
        <v>13.4166666666666</v>
      </c>
    </row>
    <row r="251" spans="1:4" x14ac:dyDescent="0.2">
      <c r="A251" t="s">
        <v>972</v>
      </c>
      <c r="B251">
        <v>216</v>
      </c>
      <c r="C251">
        <v>1.4122222222222143</v>
      </c>
      <c r="D251">
        <v>12.36111111111105</v>
      </c>
    </row>
    <row r="252" spans="1:4" x14ac:dyDescent="0.2">
      <c r="A252" t="s">
        <v>973</v>
      </c>
      <c r="B252">
        <v>216</v>
      </c>
      <c r="C252">
        <v>0.964444444444438</v>
      </c>
      <c r="D252">
        <v>11.1666666666666</v>
      </c>
    </row>
    <row r="253" spans="1:4" x14ac:dyDescent="0.2">
      <c r="A253" t="s">
        <v>974</v>
      </c>
      <c r="B253">
        <v>216</v>
      </c>
      <c r="C253">
        <v>0.93</v>
      </c>
      <c r="D253">
        <v>9.1944444444444002</v>
      </c>
    </row>
    <row r="254" spans="1:4" x14ac:dyDescent="0.2">
      <c r="A254" t="s">
        <v>975</v>
      </c>
      <c r="B254">
        <v>216</v>
      </c>
      <c r="C254">
        <v>0.99888888888888516</v>
      </c>
      <c r="D254">
        <v>2.1666666666666599</v>
      </c>
    </row>
    <row r="255" spans="1:4" x14ac:dyDescent="0.2">
      <c r="A255" t="s">
        <v>976</v>
      </c>
      <c r="B255">
        <v>216</v>
      </c>
      <c r="C255">
        <v>1.3777777777777764</v>
      </c>
      <c r="D255">
        <v>16.0833333333333</v>
      </c>
    </row>
    <row r="256" spans="1:4" x14ac:dyDescent="0.2">
      <c r="A256" t="s">
        <v>977</v>
      </c>
      <c r="B256">
        <v>216</v>
      </c>
      <c r="C256">
        <v>1.1366666666666647</v>
      </c>
      <c r="D256">
        <v>29.805555555555522</v>
      </c>
    </row>
    <row r="257" spans="1:4" x14ac:dyDescent="0.2">
      <c r="A257" t="s">
        <v>978</v>
      </c>
      <c r="B257">
        <v>216</v>
      </c>
      <c r="C257">
        <v>1.2744444444444443</v>
      </c>
      <c r="D257">
        <v>11.1666666666666</v>
      </c>
    </row>
    <row r="258" spans="1:4" x14ac:dyDescent="0.2">
      <c r="A258" t="s">
        <v>979</v>
      </c>
      <c r="B258">
        <v>216</v>
      </c>
      <c r="C258">
        <v>0.93</v>
      </c>
      <c r="D258">
        <v>11.8611111111111</v>
      </c>
    </row>
    <row r="259" spans="1:4" x14ac:dyDescent="0.2">
      <c r="A259" t="s">
        <v>980</v>
      </c>
      <c r="B259">
        <v>216</v>
      </c>
      <c r="C259">
        <v>0.99888888888888516</v>
      </c>
      <c r="D259">
        <v>18.555555555555525</v>
      </c>
    </row>
    <row r="260" spans="1:4" x14ac:dyDescent="0.2">
      <c r="A260" t="s">
        <v>981</v>
      </c>
      <c r="B260">
        <v>208</v>
      </c>
      <c r="C260">
        <v>1.645384615384607</v>
      </c>
      <c r="D260">
        <v>25.471153846153804</v>
      </c>
    </row>
    <row r="261" spans="1:4" x14ac:dyDescent="0.2">
      <c r="A261" t="s">
        <v>982</v>
      </c>
      <c r="B261">
        <v>208</v>
      </c>
      <c r="C261">
        <v>1.86</v>
      </c>
      <c r="D261">
        <v>16.442307692307672</v>
      </c>
    </row>
    <row r="262" spans="1:4" x14ac:dyDescent="0.2">
      <c r="A262" t="s">
        <v>983</v>
      </c>
      <c r="B262">
        <v>208</v>
      </c>
      <c r="C262">
        <v>1.430769230769223</v>
      </c>
      <c r="D262">
        <v>14.30769230769225</v>
      </c>
    </row>
    <row r="263" spans="1:4" x14ac:dyDescent="0.2">
      <c r="A263" t="s">
        <v>984</v>
      </c>
      <c r="B263">
        <v>208</v>
      </c>
      <c r="C263">
        <v>0.96576923076922305</v>
      </c>
      <c r="D263">
        <v>3.7211538461538449</v>
      </c>
    </row>
    <row r="264" spans="1:4" x14ac:dyDescent="0.2">
      <c r="A264" t="s">
        <v>985</v>
      </c>
      <c r="B264">
        <v>208</v>
      </c>
      <c r="C264">
        <v>0.96576923076922305</v>
      </c>
      <c r="D264">
        <v>18.721153846153801</v>
      </c>
    </row>
    <row r="265" spans="1:4" x14ac:dyDescent="0.2">
      <c r="A265" t="s">
        <v>986</v>
      </c>
      <c r="B265">
        <v>200</v>
      </c>
      <c r="C265">
        <v>1.0788</v>
      </c>
      <c r="D265">
        <v>8.34</v>
      </c>
    </row>
    <row r="266" spans="1:4" x14ac:dyDescent="0.2">
      <c r="A266" t="s">
        <v>987</v>
      </c>
      <c r="B266">
        <v>200</v>
      </c>
      <c r="C266">
        <v>1.7112000000000001</v>
      </c>
      <c r="D266">
        <v>18.93</v>
      </c>
    </row>
    <row r="267" spans="1:4" x14ac:dyDescent="0.2">
      <c r="A267" t="s">
        <v>988</v>
      </c>
      <c r="B267">
        <v>200</v>
      </c>
      <c r="C267">
        <v>1.1160000000000001</v>
      </c>
      <c r="D267">
        <v>13.68</v>
      </c>
    </row>
    <row r="268" spans="1:4" x14ac:dyDescent="0.2">
      <c r="A268" t="s">
        <v>989</v>
      </c>
      <c r="B268">
        <v>192</v>
      </c>
      <c r="C268">
        <v>0.93</v>
      </c>
      <c r="D268">
        <v>16.656249999999975</v>
      </c>
    </row>
    <row r="269" spans="1:4" x14ac:dyDescent="0.2">
      <c r="A269" t="s">
        <v>990</v>
      </c>
      <c r="B269">
        <v>192</v>
      </c>
      <c r="C269">
        <v>0.96874999999999389</v>
      </c>
      <c r="D269">
        <v>29.687499999999975</v>
      </c>
    </row>
    <row r="270" spans="1:4" x14ac:dyDescent="0.2">
      <c r="A270" t="s">
        <v>991</v>
      </c>
      <c r="B270">
        <v>192</v>
      </c>
      <c r="C270">
        <v>1.0462500000000001</v>
      </c>
      <c r="D270">
        <v>18.46875</v>
      </c>
    </row>
    <row r="271" spans="1:4" x14ac:dyDescent="0.2">
      <c r="A271" t="s">
        <v>992</v>
      </c>
      <c r="B271">
        <v>192</v>
      </c>
      <c r="C271">
        <v>0.93</v>
      </c>
      <c r="D271">
        <v>1.1874999999999973</v>
      </c>
    </row>
    <row r="272" spans="1:4" x14ac:dyDescent="0.2">
      <c r="A272" t="s">
        <v>993</v>
      </c>
      <c r="B272">
        <v>192</v>
      </c>
      <c r="C272">
        <v>0.96874999999999389</v>
      </c>
      <c r="D272">
        <v>7.3749999999999982</v>
      </c>
    </row>
    <row r="273" spans="1:4" x14ac:dyDescent="0.2">
      <c r="A273" t="s">
        <v>994</v>
      </c>
      <c r="B273">
        <v>192</v>
      </c>
      <c r="C273">
        <v>1.51125</v>
      </c>
      <c r="D273">
        <v>26.031249999999975</v>
      </c>
    </row>
    <row r="274" spans="1:4" x14ac:dyDescent="0.2">
      <c r="A274" t="s">
        <v>995</v>
      </c>
      <c r="B274">
        <v>192</v>
      </c>
      <c r="C274">
        <v>1.1625000000000001</v>
      </c>
      <c r="D274">
        <v>48.249999999999972</v>
      </c>
    </row>
    <row r="275" spans="1:4" x14ac:dyDescent="0.2">
      <c r="A275" t="s">
        <v>996</v>
      </c>
      <c r="B275">
        <v>184</v>
      </c>
      <c r="C275">
        <v>1.1321739130434727</v>
      </c>
      <c r="D275">
        <v>7.9239130434782243</v>
      </c>
    </row>
    <row r="276" spans="1:4" x14ac:dyDescent="0.2">
      <c r="A276" t="s">
        <v>997</v>
      </c>
      <c r="B276">
        <v>184</v>
      </c>
      <c r="C276">
        <v>1.1726086956521728</v>
      </c>
      <c r="D276">
        <v>7.4021739130434749</v>
      </c>
    </row>
    <row r="277" spans="1:4" x14ac:dyDescent="0.2">
      <c r="A277" t="s">
        <v>998</v>
      </c>
      <c r="B277">
        <v>184</v>
      </c>
      <c r="C277">
        <v>1.1726086956521728</v>
      </c>
      <c r="D277">
        <v>9.4239130434782243</v>
      </c>
    </row>
    <row r="278" spans="1:4" x14ac:dyDescent="0.2">
      <c r="A278" t="s">
        <v>999</v>
      </c>
      <c r="B278">
        <v>184</v>
      </c>
      <c r="C278">
        <v>1.0108695652173909</v>
      </c>
      <c r="D278">
        <v>4.1413043478260843</v>
      </c>
    </row>
    <row r="279" spans="1:4" x14ac:dyDescent="0.2">
      <c r="A279" t="s">
        <v>1000</v>
      </c>
      <c r="B279">
        <v>184</v>
      </c>
      <c r="C279">
        <v>0.84913043478260819</v>
      </c>
      <c r="D279">
        <v>21.16304347826085</v>
      </c>
    </row>
    <row r="280" spans="1:4" x14ac:dyDescent="0.2">
      <c r="A280" t="s">
        <v>1001</v>
      </c>
      <c r="B280">
        <v>184</v>
      </c>
      <c r="C280">
        <v>0.88956521739130368</v>
      </c>
      <c r="D280">
        <v>17.934782608695599</v>
      </c>
    </row>
    <row r="281" spans="1:4" x14ac:dyDescent="0.2">
      <c r="A281" t="s">
        <v>1002</v>
      </c>
      <c r="B281">
        <v>184</v>
      </c>
      <c r="C281">
        <v>1.2534782608695636</v>
      </c>
      <c r="D281">
        <v>10.141304347826026</v>
      </c>
    </row>
    <row r="282" spans="1:4" x14ac:dyDescent="0.2">
      <c r="A282" t="s">
        <v>1003</v>
      </c>
      <c r="B282">
        <v>184</v>
      </c>
      <c r="C282">
        <v>1.2939130434782544</v>
      </c>
      <c r="D282">
        <v>18.521739130434749</v>
      </c>
    </row>
    <row r="283" spans="1:4" x14ac:dyDescent="0.2">
      <c r="A283" t="s">
        <v>1004</v>
      </c>
      <c r="B283">
        <v>184</v>
      </c>
      <c r="C283">
        <v>1.2939130434782544</v>
      </c>
      <c r="D283">
        <v>23.315217391304326</v>
      </c>
    </row>
    <row r="284" spans="1:4" x14ac:dyDescent="0.2">
      <c r="A284" t="s">
        <v>1005</v>
      </c>
      <c r="B284">
        <v>184</v>
      </c>
      <c r="C284">
        <v>0.93</v>
      </c>
      <c r="D284">
        <v>1.5</v>
      </c>
    </row>
    <row r="285" spans="1:4" x14ac:dyDescent="0.2">
      <c r="A285" t="s">
        <v>1006</v>
      </c>
      <c r="B285">
        <v>184</v>
      </c>
      <c r="C285">
        <v>0.93</v>
      </c>
      <c r="D285">
        <v>0</v>
      </c>
    </row>
    <row r="286" spans="1:4" x14ac:dyDescent="0.2">
      <c r="A286" t="s">
        <v>1007</v>
      </c>
      <c r="B286">
        <v>176</v>
      </c>
      <c r="C286">
        <v>1.0145454545454538</v>
      </c>
      <c r="D286">
        <v>14.965909090909051</v>
      </c>
    </row>
    <row r="287" spans="1:4" x14ac:dyDescent="0.2">
      <c r="A287" t="s">
        <v>1008</v>
      </c>
      <c r="B287">
        <v>176</v>
      </c>
      <c r="C287">
        <v>1.2681818181818147</v>
      </c>
      <c r="D287">
        <v>20.045454545454525</v>
      </c>
    </row>
    <row r="288" spans="1:4" x14ac:dyDescent="0.2">
      <c r="A288" t="s">
        <v>1009</v>
      </c>
      <c r="B288">
        <v>176</v>
      </c>
      <c r="C288">
        <v>0.93</v>
      </c>
      <c r="D288">
        <v>17.147727272727224</v>
      </c>
    </row>
    <row r="289" spans="1:4" x14ac:dyDescent="0.2">
      <c r="A289" t="s">
        <v>1010</v>
      </c>
      <c r="B289">
        <v>176</v>
      </c>
      <c r="C289">
        <v>0.93</v>
      </c>
      <c r="D289">
        <v>44.625</v>
      </c>
    </row>
    <row r="290" spans="1:4" x14ac:dyDescent="0.2">
      <c r="A290" t="s">
        <v>1011</v>
      </c>
      <c r="B290">
        <v>176</v>
      </c>
      <c r="C290">
        <v>1.0145454545454538</v>
      </c>
      <c r="D290">
        <v>14.181818181818175</v>
      </c>
    </row>
    <row r="291" spans="1:4" x14ac:dyDescent="0.2">
      <c r="A291" t="s">
        <v>1012</v>
      </c>
      <c r="B291">
        <v>176</v>
      </c>
      <c r="C291">
        <v>0.93</v>
      </c>
      <c r="D291">
        <v>5.625</v>
      </c>
    </row>
    <row r="292" spans="1:4" x14ac:dyDescent="0.2">
      <c r="A292" t="s">
        <v>1013</v>
      </c>
      <c r="B292">
        <v>176</v>
      </c>
      <c r="C292">
        <v>0.97227272727272229</v>
      </c>
      <c r="D292">
        <v>4.125</v>
      </c>
    </row>
    <row r="293" spans="1:4" x14ac:dyDescent="0.2">
      <c r="A293" t="s">
        <v>1014</v>
      </c>
      <c r="B293">
        <v>168</v>
      </c>
      <c r="C293">
        <v>1.0628571428571403</v>
      </c>
      <c r="D293">
        <v>15.464285714285699</v>
      </c>
    </row>
    <row r="294" spans="1:4" x14ac:dyDescent="0.2">
      <c r="A294" t="s">
        <v>1015</v>
      </c>
      <c r="B294">
        <v>168</v>
      </c>
      <c r="C294">
        <v>1.638571428571427</v>
      </c>
      <c r="D294">
        <v>13.928571428571374</v>
      </c>
    </row>
    <row r="295" spans="1:4" x14ac:dyDescent="0.2">
      <c r="A295" t="s">
        <v>1016</v>
      </c>
      <c r="B295">
        <v>168</v>
      </c>
      <c r="C295">
        <v>1.0628571428571403</v>
      </c>
      <c r="D295">
        <v>89.821428571428001</v>
      </c>
    </row>
    <row r="296" spans="1:4" x14ac:dyDescent="0.2">
      <c r="A296" t="s">
        <v>1017</v>
      </c>
      <c r="B296">
        <v>168</v>
      </c>
      <c r="C296">
        <v>1.0628571428571403</v>
      </c>
      <c r="D296">
        <v>23.857142857142851</v>
      </c>
    </row>
    <row r="297" spans="1:4" x14ac:dyDescent="0.2">
      <c r="A297" t="s">
        <v>1018</v>
      </c>
      <c r="B297">
        <v>168</v>
      </c>
      <c r="C297">
        <v>1.4171428571428537</v>
      </c>
      <c r="D297">
        <v>13.928571428571374</v>
      </c>
    </row>
    <row r="298" spans="1:4" x14ac:dyDescent="0.2">
      <c r="A298" t="s">
        <v>1019</v>
      </c>
      <c r="B298">
        <v>160</v>
      </c>
      <c r="C298">
        <v>0.97650000000000015</v>
      </c>
      <c r="D298">
        <v>20.85</v>
      </c>
    </row>
    <row r="299" spans="1:4" x14ac:dyDescent="0.2">
      <c r="A299" t="s">
        <v>1020</v>
      </c>
      <c r="B299">
        <v>160</v>
      </c>
      <c r="C299">
        <v>1.1160000000000001</v>
      </c>
      <c r="D299">
        <v>8.3249999999999993</v>
      </c>
    </row>
    <row r="300" spans="1:4" x14ac:dyDescent="0.2">
      <c r="A300" t="s">
        <v>1021</v>
      </c>
      <c r="B300">
        <v>160</v>
      </c>
      <c r="C300">
        <v>0.93</v>
      </c>
      <c r="D300">
        <v>13.387500000000001</v>
      </c>
    </row>
    <row r="301" spans="1:4" x14ac:dyDescent="0.2">
      <c r="A301" t="s">
        <v>1022</v>
      </c>
      <c r="B301">
        <v>160</v>
      </c>
      <c r="C301">
        <v>0.97650000000000015</v>
      </c>
      <c r="D301">
        <v>8.9250000000000007</v>
      </c>
    </row>
    <row r="302" spans="1:4" x14ac:dyDescent="0.2">
      <c r="A302" t="s">
        <v>1023</v>
      </c>
      <c r="B302">
        <v>160</v>
      </c>
      <c r="C302">
        <v>0.88349999999999995</v>
      </c>
      <c r="D302">
        <v>4.5374999999999996</v>
      </c>
    </row>
    <row r="303" spans="1:4" x14ac:dyDescent="0.2">
      <c r="A303" t="s">
        <v>1024</v>
      </c>
      <c r="B303">
        <v>160</v>
      </c>
      <c r="C303">
        <v>0.93</v>
      </c>
      <c r="D303">
        <v>8.6999999999999993</v>
      </c>
    </row>
    <row r="304" spans="1:4" x14ac:dyDescent="0.2">
      <c r="A304" t="s">
        <v>1025</v>
      </c>
      <c r="B304">
        <v>160</v>
      </c>
      <c r="C304">
        <v>1.395</v>
      </c>
      <c r="D304">
        <v>27.525000000000002</v>
      </c>
    </row>
    <row r="305" spans="1:4" x14ac:dyDescent="0.2">
      <c r="A305" t="s">
        <v>1026</v>
      </c>
      <c r="B305">
        <v>160</v>
      </c>
      <c r="C305">
        <v>1.581</v>
      </c>
      <c r="D305">
        <v>15.825000000000001</v>
      </c>
    </row>
    <row r="306" spans="1:4" x14ac:dyDescent="0.2">
      <c r="A306" t="s">
        <v>1027</v>
      </c>
      <c r="B306">
        <v>160</v>
      </c>
      <c r="C306">
        <v>1.5345</v>
      </c>
      <c r="D306">
        <v>12.787500000000001</v>
      </c>
    </row>
    <row r="307" spans="1:4" x14ac:dyDescent="0.2">
      <c r="A307" t="s">
        <v>1028</v>
      </c>
      <c r="B307">
        <v>152</v>
      </c>
      <c r="C307">
        <v>0.97894736842104479</v>
      </c>
      <c r="D307">
        <v>11.565789473684175</v>
      </c>
    </row>
    <row r="308" spans="1:4" x14ac:dyDescent="0.2">
      <c r="A308" t="s">
        <v>1029</v>
      </c>
      <c r="B308">
        <v>152</v>
      </c>
      <c r="C308">
        <v>1.3215789473684143</v>
      </c>
      <c r="D308">
        <v>16.855263157894726</v>
      </c>
    </row>
    <row r="309" spans="1:4" x14ac:dyDescent="0.2">
      <c r="A309" t="s">
        <v>1030</v>
      </c>
      <c r="B309">
        <v>152</v>
      </c>
      <c r="C309">
        <v>0.93</v>
      </c>
      <c r="D309">
        <v>1.1447368421052602</v>
      </c>
    </row>
    <row r="310" spans="1:4" x14ac:dyDescent="0.2">
      <c r="A310" t="s">
        <v>1031</v>
      </c>
      <c r="B310">
        <v>152</v>
      </c>
      <c r="C310">
        <v>1.2236842105263153</v>
      </c>
      <c r="D310">
        <v>22.105263157894726</v>
      </c>
    </row>
    <row r="311" spans="1:4" x14ac:dyDescent="0.2">
      <c r="A311" t="s">
        <v>1032</v>
      </c>
      <c r="B311">
        <v>152</v>
      </c>
      <c r="C311">
        <v>1.86</v>
      </c>
      <c r="D311">
        <v>16.302631578947327</v>
      </c>
    </row>
    <row r="312" spans="1:4" x14ac:dyDescent="0.2">
      <c r="A312" t="s">
        <v>1033</v>
      </c>
      <c r="B312">
        <v>152</v>
      </c>
      <c r="C312">
        <v>0.93</v>
      </c>
      <c r="D312">
        <v>13.105263157894726</v>
      </c>
    </row>
    <row r="313" spans="1:4" x14ac:dyDescent="0.2">
      <c r="A313" t="s">
        <v>1034</v>
      </c>
      <c r="B313">
        <v>144</v>
      </c>
      <c r="C313">
        <v>0.93</v>
      </c>
      <c r="D313">
        <v>6.6249999999999982</v>
      </c>
    </row>
    <row r="314" spans="1:4" x14ac:dyDescent="0.2">
      <c r="A314" t="s">
        <v>1035</v>
      </c>
      <c r="B314">
        <v>144</v>
      </c>
      <c r="C314">
        <v>1.2399999999999969</v>
      </c>
      <c r="D314">
        <v>11.41666666666665</v>
      </c>
    </row>
    <row r="315" spans="1:4" x14ac:dyDescent="0.2">
      <c r="A315" t="s">
        <v>1036</v>
      </c>
      <c r="B315">
        <v>144</v>
      </c>
      <c r="C315">
        <v>0.98166666666666158</v>
      </c>
      <c r="D315">
        <v>0.375</v>
      </c>
    </row>
    <row r="316" spans="1:4" x14ac:dyDescent="0.2">
      <c r="A316" t="s">
        <v>1037</v>
      </c>
      <c r="B316">
        <v>144</v>
      </c>
      <c r="C316">
        <v>1.3433333333333293</v>
      </c>
      <c r="D316">
        <v>5.4999999999999982</v>
      </c>
    </row>
    <row r="317" spans="1:4" x14ac:dyDescent="0.2">
      <c r="A317" t="s">
        <v>1038</v>
      </c>
      <c r="B317">
        <v>144</v>
      </c>
      <c r="C317">
        <v>1.3433333333333293</v>
      </c>
      <c r="D317">
        <v>8.2083333333333002</v>
      </c>
    </row>
    <row r="318" spans="1:4" x14ac:dyDescent="0.2">
      <c r="A318" t="s">
        <v>1039</v>
      </c>
      <c r="B318">
        <v>144</v>
      </c>
      <c r="C318">
        <v>1.704999999999997</v>
      </c>
      <c r="D318">
        <v>92.541666666666003</v>
      </c>
    </row>
    <row r="319" spans="1:4" x14ac:dyDescent="0.2">
      <c r="A319" t="s">
        <v>1040</v>
      </c>
      <c r="B319">
        <v>144</v>
      </c>
      <c r="C319">
        <v>1.1883333333333261</v>
      </c>
      <c r="D319">
        <v>11.499999999999975</v>
      </c>
    </row>
    <row r="320" spans="1:4" x14ac:dyDescent="0.2">
      <c r="A320" t="s">
        <v>1041</v>
      </c>
      <c r="B320">
        <v>144</v>
      </c>
      <c r="C320">
        <v>0.93</v>
      </c>
      <c r="D320">
        <v>0.83333333333333259</v>
      </c>
    </row>
    <row r="321" spans="1:4" x14ac:dyDescent="0.2">
      <c r="A321" t="s">
        <v>1042</v>
      </c>
      <c r="B321">
        <v>144</v>
      </c>
      <c r="C321">
        <v>1.2916666666666585</v>
      </c>
      <c r="D321">
        <v>10.29166666666665</v>
      </c>
    </row>
    <row r="322" spans="1:4" x14ac:dyDescent="0.2">
      <c r="A322" t="s">
        <v>1043</v>
      </c>
      <c r="B322">
        <v>136</v>
      </c>
      <c r="C322">
        <v>0.93</v>
      </c>
      <c r="D322">
        <v>13.720588235294102</v>
      </c>
    </row>
    <row r="323" spans="1:4" x14ac:dyDescent="0.2">
      <c r="A323" t="s">
        <v>1044</v>
      </c>
      <c r="B323">
        <v>136</v>
      </c>
      <c r="C323">
        <v>1.7505882352941171</v>
      </c>
      <c r="D323">
        <v>9.5294117647058236</v>
      </c>
    </row>
    <row r="324" spans="1:4" x14ac:dyDescent="0.2">
      <c r="A324" t="s">
        <v>1045</v>
      </c>
      <c r="B324">
        <v>136</v>
      </c>
      <c r="C324">
        <v>1.2582352941176396</v>
      </c>
      <c r="D324">
        <v>19.279411764705824</v>
      </c>
    </row>
    <row r="325" spans="1:4" x14ac:dyDescent="0.2">
      <c r="A325" t="s">
        <v>1046</v>
      </c>
      <c r="B325">
        <v>136</v>
      </c>
      <c r="C325">
        <v>0.93</v>
      </c>
      <c r="D325">
        <v>1.54411764705882</v>
      </c>
    </row>
    <row r="326" spans="1:4" x14ac:dyDescent="0.2">
      <c r="A326" t="s">
        <v>1047</v>
      </c>
      <c r="B326">
        <v>136</v>
      </c>
      <c r="C326">
        <v>1.0394117647058736</v>
      </c>
      <c r="D326">
        <v>14.779411764705824</v>
      </c>
    </row>
    <row r="327" spans="1:4" x14ac:dyDescent="0.2">
      <c r="A327" t="s">
        <v>1048</v>
      </c>
      <c r="B327">
        <v>136</v>
      </c>
      <c r="C327">
        <v>0.82058823529411717</v>
      </c>
      <c r="D327">
        <v>40.632352941176471</v>
      </c>
    </row>
    <row r="328" spans="1:4" x14ac:dyDescent="0.2">
      <c r="A328" t="s">
        <v>1049</v>
      </c>
      <c r="B328">
        <v>136</v>
      </c>
      <c r="C328">
        <v>0.87529411764705856</v>
      </c>
      <c r="D328">
        <v>9.3529411764705745</v>
      </c>
    </row>
    <row r="329" spans="1:4" x14ac:dyDescent="0.2">
      <c r="A329" t="s">
        <v>1050</v>
      </c>
      <c r="B329">
        <v>136</v>
      </c>
      <c r="C329">
        <v>0.98470588235293688</v>
      </c>
      <c r="D329">
        <v>5.735294117647058</v>
      </c>
    </row>
    <row r="330" spans="1:4" x14ac:dyDescent="0.2">
      <c r="A330" t="s">
        <v>1051</v>
      </c>
      <c r="B330">
        <v>136</v>
      </c>
      <c r="C330">
        <v>1.4770588235294053</v>
      </c>
      <c r="D330">
        <v>9.5735294117646745</v>
      </c>
    </row>
    <row r="331" spans="1:4" x14ac:dyDescent="0.2">
      <c r="A331" t="s">
        <v>1052</v>
      </c>
      <c r="B331">
        <v>136</v>
      </c>
      <c r="C331">
        <v>1.2582352941176396</v>
      </c>
      <c r="D331">
        <v>7.1029411764705834</v>
      </c>
    </row>
    <row r="332" spans="1:4" x14ac:dyDescent="0.2">
      <c r="A332" t="s">
        <v>1053</v>
      </c>
      <c r="B332">
        <v>136</v>
      </c>
      <c r="C332">
        <v>1.5317647058823514</v>
      </c>
      <c r="D332">
        <v>17.779411764705824</v>
      </c>
    </row>
    <row r="333" spans="1:4" x14ac:dyDescent="0.2">
      <c r="A333" t="s">
        <v>1054</v>
      </c>
      <c r="B333">
        <v>136</v>
      </c>
      <c r="C333">
        <v>1.2582352941176396</v>
      </c>
      <c r="D333">
        <v>10.7205882352941</v>
      </c>
    </row>
    <row r="334" spans="1:4" x14ac:dyDescent="0.2">
      <c r="A334" t="s">
        <v>1055</v>
      </c>
      <c r="B334">
        <v>136</v>
      </c>
      <c r="C334">
        <v>1.3676470588235223</v>
      </c>
      <c r="D334">
        <v>11.823529411764675</v>
      </c>
    </row>
    <row r="335" spans="1:4" x14ac:dyDescent="0.2">
      <c r="A335" t="s">
        <v>1056</v>
      </c>
      <c r="B335">
        <v>136</v>
      </c>
      <c r="C335">
        <v>0.98470588235293688</v>
      </c>
      <c r="D335">
        <v>7.2794117647058778</v>
      </c>
    </row>
    <row r="336" spans="1:4" x14ac:dyDescent="0.2">
      <c r="A336" t="s">
        <v>1057</v>
      </c>
      <c r="B336">
        <v>136</v>
      </c>
      <c r="C336">
        <v>0.93</v>
      </c>
      <c r="D336">
        <v>8.3823529411764</v>
      </c>
    </row>
    <row r="337" spans="1:4" x14ac:dyDescent="0.2">
      <c r="A337" t="s">
        <v>1058</v>
      </c>
      <c r="B337">
        <v>136</v>
      </c>
      <c r="C337">
        <v>0.98470588235293688</v>
      </c>
      <c r="D337">
        <v>12.6617647058823</v>
      </c>
    </row>
    <row r="338" spans="1:4" x14ac:dyDescent="0.2">
      <c r="A338" t="s">
        <v>1059</v>
      </c>
      <c r="B338">
        <v>128</v>
      </c>
      <c r="C338">
        <v>1.453125</v>
      </c>
      <c r="D338">
        <v>24.046875</v>
      </c>
    </row>
    <row r="339" spans="1:4" x14ac:dyDescent="0.2">
      <c r="A339" t="s">
        <v>1060</v>
      </c>
      <c r="B339">
        <v>128</v>
      </c>
      <c r="C339">
        <v>0.93</v>
      </c>
      <c r="D339">
        <v>22.078125</v>
      </c>
    </row>
    <row r="340" spans="1:4" x14ac:dyDescent="0.2">
      <c r="A340" t="s">
        <v>1061</v>
      </c>
      <c r="B340">
        <v>128</v>
      </c>
      <c r="C340">
        <v>0.93</v>
      </c>
      <c r="D340">
        <v>2.0625</v>
      </c>
    </row>
    <row r="341" spans="1:4" x14ac:dyDescent="0.2">
      <c r="A341" t="s">
        <v>1062</v>
      </c>
      <c r="B341">
        <v>128</v>
      </c>
      <c r="C341">
        <v>2.6737500000000001</v>
      </c>
      <c r="D341">
        <v>21</v>
      </c>
    </row>
    <row r="342" spans="1:4" x14ac:dyDescent="0.2">
      <c r="A342" t="s">
        <v>1063</v>
      </c>
      <c r="B342">
        <v>128</v>
      </c>
      <c r="C342">
        <v>1.1043750000000001</v>
      </c>
      <c r="D342">
        <v>10.5</v>
      </c>
    </row>
    <row r="343" spans="1:4" x14ac:dyDescent="0.2">
      <c r="A343" t="s">
        <v>1064</v>
      </c>
      <c r="B343">
        <v>128</v>
      </c>
      <c r="C343">
        <v>0.93</v>
      </c>
      <c r="D343">
        <v>1.359375</v>
      </c>
    </row>
    <row r="344" spans="1:4" x14ac:dyDescent="0.2">
      <c r="A344" t="s">
        <v>1065</v>
      </c>
      <c r="B344">
        <v>128</v>
      </c>
      <c r="C344">
        <v>0.93</v>
      </c>
      <c r="D344">
        <v>22.78125</v>
      </c>
    </row>
    <row r="345" spans="1:4" x14ac:dyDescent="0.2">
      <c r="A345" t="s">
        <v>1066</v>
      </c>
      <c r="B345">
        <v>128</v>
      </c>
      <c r="C345">
        <v>1.453125</v>
      </c>
      <c r="D345">
        <v>10.078125</v>
      </c>
    </row>
    <row r="346" spans="1:4" x14ac:dyDescent="0.2">
      <c r="A346" t="s">
        <v>1067</v>
      </c>
      <c r="B346">
        <v>128</v>
      </c>
      <c r="C346">
        <v>1.2787500000000001</v>
      </c>
      <c r="D346">
        <v>23.71875</v>
      </c>
    </row>
    <row r="347" spans="1:4" x14ac:dyDescent="0.2">
      <c r="A347" t="s">
        <v>1068</v>
      </c>
      <c r="B347">
        <v>128</v>
      </c>
      <c r="C347">
        <v>1.0462500000000001</v>
      </c>
      <c r="D347">
        <v>26.671875</v>
      </c>
    </row>
    <row r="348" spans="1:4" x14ac:dyDescent="0.2">
      <c r="A348" t="s">
        <v>1069</v>
      </c>
      <c r="B348">
        <v>128</v>
      </c>
      <c r="C348">
        <v>1.2206250000000001</v>
      </c>
      <c r="D348">
        <v>15.703125</v>
      </c>
    </row>
    <row r="349" spans="1:4" x14ac:dyDescent="0.2">
      <c r="A349" t="s">
        <v>1070</v>
      </c>
      <c r="B349">
        <v>128</v>
      </c>
      <c r="C349">
        <v>1.7437500000000001</v>
      </c>
      <c r="D349">
        <v>20.71875</v>
      </c>
    </row>
    <row r="350" spans="1:4" x14ac:dyDescent="0.2">
      <c r="A350" t="s">
        <v>1071</v>
      </c>
      <c r="B350">
        <v>128</v>
      </c>
      <c r="C350">
        <v>0.98812500000000003</v>
      </c>
      <c r="D350">
        <v>9.046875</v>
      </c>
    </row>
    <row r="351" spans="1:4" x14ac:dyDescent="0.2">
      <c r="A351" t="s">
        <v>1072</v>
      </c>
      <c r="B351">
        <v>128</v>
      </c>
      <c r="C351">
        <v>0.93</v>
      </c>
      <c r="D351">
        <v>16.59375</v>
      </c>
    </row>
    <row r="352" spans="1:4" x14ac:dyDescent="0.2">
      <c r="A352" t="s">
        <v>1073</v>
      </c>
      <c r="B352">
        <v>120</v>
      </c>
      <c r="C352">
        <v>1.2399999999999969</v>
      </c>
      <c r="D352">
        <v>18.999999999999975</v>
      </c>
    </row>
    <row r="353" spans="1:4" x14ac:dyDescent="0.2">
      <c r="A353" t="s">
        <v>1074</v>
      </c>
      <c r="B353">
        <v>120</v>
      </c>
      <c r="C353">
        <v>0.99199999999999389</v>
      </c>
      <c r="D353">
        <v>0.49999999999999944</v>
      </c>
    </row>
    <row r="354" spans="1:4" x14ac:dyDescent="0.2">
      <c r="A354" t="s">
        <v>1075</v>
      </c>
      <c r="B354">
        <v>120</v>
      </c>
      <c r="C354">
        <v>1.1779999999999937</v>
      </c>
      <c r="D354">
        <v>18</v>
      </c>
    </row>
    <row r="355" spans="1:4" x14ac:dyDescent="0.2">
      <c r="A355" t="s">
        <v>1076</v>
      </c>
      <c r="B355">
        <v>120</v>
      </c>
      <c r="C355">
        <v>0.99199999999999389</v>
      </c>
      <c r="D355">
        <v>40.650000000000006</v>
      </c>
    </row>
    <row r="356" spans="1:4" x14ac:dyDescent="0.2">
      <c r="A356" t="s">
        <v>1077</v>
      </c>
      <c r="B356">
        <v>120</v>
      </c>
      <c r="C356">
        <v>1.549999999999994</v>
      </c>
      <c r="D356">
        <v>22.24999999999995</v>
      </c>
    </row>
    <row r="357" spans="1:4" x14ac:dyDescent="0.2">
      <c r="A357" t="s">
        <v>1078</v>
      </c>
      <c r="B357">
        <v>120</v>
      </c>
      <c r="C357">
        <v>1.549999999999994</v>
      </c>
      <c r="D357">
        <v>11.74999999999995</v>
      </c>
    </row>
    <row r="358" spans="1:4" x14ac:dyDescent="0.2">
      <c r="A358" t="s">
        <v>1079</v>
      </c>
      <c r="B358">
        <v>120</v>
      </c>
      <c r="C358">
        <v>1.1779999999999937</v>
      </c>
      <c r="D358">
        <v>6.75</v>
      </c>
    </row>
    <row r="359" spans="1:4" x14ac:dyDescent="0.2">
      <c r="A359" t="s">
        <v>1080</v>
      </c>
      <c r="B359">
        <v>120</v>
      </c>
      <c r="C359">
        <v>0.86799999999999977</v>
      </c>
      <c r="D359">
        <v>0</v>
      </c>
    </row>
    <row r="360" spans="1:4" x14ac:dyDescent="0.2">
      <c r="A360" t="s">
        <v>1081</v>
      </c>
      <c r="B360">
        <v>120</v>
      </c>
      <c r="C360">
        <v>0.80599999999999949</v>
      </c>
      <c r="D360">
        <v>25.299999999999976</v>
      </c>
    </row>
    <row r="361" spans="1:4" x14ac:dyDescent="0.2">
      <c r="A361" t="s">
        <v>1082</v>
      </c>
      <c r="B361">
        <v>120</v>
      </c>
      <c r="C361">
        <v>0.99199999999999389</v>
      </c>
      <c r="D361">
        <v>18.600000000000001</v>
      </c>
    </row>
    <row r="362" spans="1:4" x14ac:dyDescent="0.2">
      <c r="A362" t="s">
        <v>1083</v>
      </c>
      <c r="B362">
        <v>120</v>
      </c>
      <c r="C362">
        <v>1.1160000000000001</v>
      </c>
      <c r="D362">
        <v>5.899999999999995</v>
      </c>
    </row>
    <row r="363" spans="1:4" x14ac:dyDescent="0.2">
      <c r="A363" t="s">
        <v>1084</v>
      </c>
      <c r="B363">
        <v>120</v>
      </c>
      <c r="C363">
        <v>1.0539999999999969</v>
      </c>
      <c r="D363">
        <v>11.499999999999975</v>
      </c>
    </row>
    <row r="364" spans="1:4" x14ac:dyDescent="0.2">
      <c r="A364" t="s">
        <v>1085</v>
      </c>
      <c r="B364">
        <v>120</v>
      </c>
      <c r="C364">
        <v>1.425999999999997</v>
      </c>
      <c r="D364">
        <v>12.399999999999974</v>
      </c>
    </row>
    <row r="365" spans="1:4" x14ac:dyDescent="0.2">
      <c r="A365" t="s">
        <v>1086</v>
      </c>
      <c r="B365">
        <v>120</v>
      </c>
      <c r="C365">
        <v>1.3639999999999939</v>
      </c>
      <c r="D365">
        <v>17.25</v>
      </c>
    </row>
    <row r="366" spans="1:4" x14ac:dyDescent="0.2">
      <c r="A366" t="s">
        <v>1087</v>
      </c>
      <c r="B366">
        <v>120</v>
      </c>
      <c r="C366">
        <v>1.735999999999994</v>
      </c>
      <c r="D366">
        <v>26.049999999999976</v>
      </c>
    </row>
    <row r="367" spans="1:4" x14ac:dyDescent="0.2">
      <c r="A367" t="s">
        <v>1088</v>
      </c>
      <c r="B367">
        <v>120</v>
      </c>
      <c r="C367">
        <v>1.2399999999999969</v>
      </c>
      <c r="D367">
        <v>22.049999999999997</v>
      </c>
    </row>
    <row r="368" spans="1:4" x14ac:dyDescent="0.2">
      <c r="A368" t="s">
        <v>1089</v>
      </c>
      <c r="B368">
        <v>120</v>
      </c>
      <c r="C368">
        <v>1.302</v>
      </c>
      <c r="D368">
        <v>37.149999999999977</v>
      </c>
    </row>
    <row r="369" spans="1:4" x14ac:dyDescent="0.2">
      <c r="A369" t="s">
        <v>1090</v>
      </c>
      <c r="B369">
        <v>120</v>
      </c>
      <c r="C369">
        <v>1.2399999999999969</v>
      </c>
      <c r="D369">
        <v>14.149999999999949</v>
      </c>
    </row>
    <row r="370" spans="1:4" x14ac:dyDescent="0.2">
      <c r="A370" t="s">
        <v>1091</v>
      </c>
      <c r="B370">
        <v>120</v>
      </c>
      <c r="C370">
        <v>0.93</v>
      </c>
      <c r="D370">
        <v>6.4999999999999956</v>
      </c>
    </row>
    <row r="371" spans="1:4" x14ac:dyDescent="0.2">
      <c r="A371" t="s">
        <v>1092</v>
      </c>
      <c r="B371">
        <v>120</v>
      </c>
      <c r="C371">
        <v>0.80599999999999949</v>
      </c>
      <c r="D371">
        <v>13.749999999999975</v>
      </c>
    </row>
    <row r="372" spans="1:4" x14ac:dyDescent="0.2">
      <c r="A372" t="s">
        <v>1093</v>
      </c>
      <c r="B372">
        <v>120</v>
      </c>
      <c r="C372">
        <v>1.425999999999997</v>
      </c>
      <c r="D372">
        <v>8.7999999999999758</v>
      </c>
    </row>
    <row r="373" spans="1:4" x14ac:dyDescent="0.2">
      <c r="A373" t="s">
        <v>1094</v>
      </c>
      <c r="B373">
        <v>120</v>
      </c>
      <c r="C373">
        <v>1.4880000000000002</v>
      </c>
      <c r="D373">
        <v>15.199999999999951</v>
      </c>
    </row>
    <row r="374" spans="1:4" x14ac:dyDescent="0.2">
      <c r="A374" t="s">
        <v>1095</v>
      </c>
      <c r="B374">
        <v>120</v>
      </c>
      <c r="C374">
        <v>1.2399999999999969</v>
      </c>
      <c r="D374">
        <v>13.299999999999974</v>
      </c>
    </row>
    <row r="375" spans="1:4" x14ac:dyDescent="0.2">
      <c r="A375" t="s">
        <v>1096</v>
      </c>
      <c r="B375">
        <v>120</v>
      </c>
      <c r="C375">
        <v>1.0539999999999969</v>
      </c>
      <c r="D375">
        <v>17.499999999999975</v>
      </c>
    </row>
    <row r="376" spans="1:4" x14ac:dyDescent="0.2">
      <c r="A376" t="s">
        <v>1097</v>
      </c>
      <c r="B376">
        <v>120</v>
      </c>
      <c r="C376">
        <v>0.99199999999999389</v>
      </c>
      <c r="D376">
        <v>5.3499999999999979</v>
      </c>
    </row>
    <row r="377" spans="1:4" x14ac:dyDescent="0.2">
      <c r="A377" t="s">
        <v>1098</v>
      </c>
      <c r="B377">
        <v>112</v>
      </c>
      <c r="C377">
        <v>1.1292857142857102</v>
      </c>
      <c r="D377">
        <v>8.625</v>
      </c>
    </row>
    <row r="378" spans="1:4" x14ac:dyDescent="0.2">
      <c r="A378" t="s">
        <v>1099</v>
      </c>
      <c r="B378">
        <v>112</v>
      </c>
      <c r="C378">
        <v>1.0628571428571403</v>
      </c>
      <c r="D378">
        <v>5.625</v>
      </c>
    </row>
    <row r="379" spans="1:4" x14ac:dyDescent="0.2">
      <c r="A379" t="s">
        <v>1100</v>
      </c>
      <c r="B379">
        <v>112</v>
      </c>
      <c r="C379">
        <v>0.79714285714285704</v>
      </c>
      <c r="D379">
        <v>1.875</v>
      </c>
    </row>
    <row r="380" spans="1:4" x14ac:dyDescent="0.2">
      <c r="A380" t="s">
        <v>1101</v>
      </c>
      <c r="B380">
        <v>112</v>
      </c>
      <c r="C380">
        <v>1.5278571428571401</v>
      </c>
      <c r="D380">
        <v>15.803571428571374</v>
      </c>
    </row>
    <row r="381" spans="1:4" x14ac:dyDescent="0.2">
      <c r="A381" t="s">
        <v>1102</v>
      </c>
      <c r="B381">
        <v>112</v>
      </c>
      <c r="C381">
        <v>1.1292857142857102</v>
      </c>
      <c r="D381">
        <v>7.660714285714274</v>
      </c>
    </row>
    <row r="382" spans="1:4" x14ac:dyDescent="0.2">
      <c r="A382" t="s">
        <v>1103</v>
      </c>
      <c r="B382">
        <v>112</v>
      </c>
      <c r="C382">
        <v>0.99642857142857022</v>
      </c>
      <c r="D382">
        <v>17.303571428571374</v>
      </c>
    </row>
    <row r="383" spans="1:4" x14ac:dyDescent="0.2">
      <c r="A383" t="s">
        <v>1104</v>
      </c>
      <c r="B383">
        <v>112</v>
      </c>
      <c r="C383">
        <v>1.5278571428571401</v>
      </c>
      <c r="D383">
        <v>26.303571428571374</v>
      </c>
    </row>
    <row r="384" spans="1:4" x14ac:dyDescent="0.2">
      <c r="A384" t="s">
        <v>1105</v>
      </c>
      <c r="B384">
        <v>112</v>
      </c>
      <c r="C384">
        <v>0.79714285714285704</v>
      </c>
      <c r="D384">
        <v>1.9285714285714275</v>
      </c>
    </row>
    <row r="385" spans="1:4" x14ac:dyDescent="0.2">
      <c r="A385" t="s">
        <v>1106</v>
      </c>
      <c r="B385">
        <v>112</v>
      </c>
      <c r="C385">
        <v>1.5278571428571401</v>
      </c>
      <c r="D385">
        <v>7.875</v>
      </c>
    </row>
    <row r="386" spans="1:4" x14ac:dyDescent="0.2">
      <c r="A386" t="s">
        <v>1107</v>
      </c>
      <c r="B386">
        <v>112</v>
      </c>
      <c r="C386">
        <v>0.93</v>
      </c>
      <c r="D386">
        <v>2.46428571428571</v>
      </c>
    </row>
    <row r="387" spans="1:4" x14ac:dyDescent="0.2">
      <c r="A387" t="s">
        <v>1108</v>
      </c>
      <c r="B387">
        <v>112</v>
      </c>
      <c r="C387">
        <v>0.93</v>
      </c>
      <c r="D387">
        <v>15.053571428571374</v>
      </c>
    </row>
    <row r="388" spans="1:4" x14ac:dyDescent="0.2">
      <c r="A388" t="s">
        <v>1109</v>
      </c>
      <c r="B388">
        <v>112</v>
      </c>
      <c r="C388">
        <v>0.93</v>
      </c>
      <c r="D388">
        <v>26.035714285714278</v>
      </c>
    </row>
    <row r="389" spans="1:4" x14ac:dyDescent="0.2">
      <c r="A389" t="s">
        <v>1110</v>
      </c>
      <c r="B389">
        <v>112</v>
      </c>
      <c r="C389">
        <v>0.93</v>
      </c>
      <c r="D389">
        <v>4.6607142857142829</v>
      </c>
    </row>
    <row r="390" spans="1:4" x14ac:dyDescent="0.2">
      <c r="A390" t="s">
        <v>1111</v>
      </c>
      <c r="B390">
        <v>112</v>
      </c>
      <c r="C390">
        <v>1.1292857142857102</v>
      </c>
      <c r="D390">
        <v>3.0535714285714279</v>
      </c>
    </row>
    <row r="391" spans="1:4" x14ac:dyDescent="0.2">
      <c r="A391" t="s">
        <v>1112</v>
      </c>
      <c r="B391">
        <v>112</v>
      </c>
      <c r="C391">
        <v>0.93</v>
      </c>
      <c r="D391">
        <v>0.75</v>
      </c>
    </row>
    <row r="392" spans="1:4" x14ac:dyDescent="0.2">
      <c r="A392" t="s">
        <v>1113</v>
      </c>
      <c r="B392">
        <v>112</v>
      </c>
      <c r="C392">
        <v>0.93</v>
      </c>
      <c r="D392">
        <v>0.80357142857142749</v>
      </c>
    </row>
    <row r="393" spans="1:4" x14ac:dyDescent="0.2">
      <c r="A393" t="s">
        <v>1114</v>
      </c>
      <c r="B393">
        <v>112</v>
      </c>
      <c r="C393">
        <v>0.93</v>
      </c>
      <c r="D393">
        <v>15.803571428571374</v>
      </c>
    </row>
    <row r="394" spans="1:4" x14ac:dyDescent="0.2">
      <c r="A394" t="s">
        <v>1115</v>
      </c>
      <c r="B394">
        <v>112</v>
      </c>
      <c r="C394">
        <v>0.93</v>
      </c>
      <c r="D394">
        <v>4.1785714285714279</v>
      </c>
    </row>
    <row r="395" spans="1:4" x14ac:dyDescent="0.2">
      <c r="A395" t="s">
        <v>1116</v>
      </c>
      <c r="B395">
        <v>112</v>
      </c>
      <c r="C395">
        <v>1.3285714285714205</v>
      </c>
      <c r="D395">
        <v>22.607142857142826</v>
      </c>
    </row>
    <row r="396" spans="1:4" x14ac:dyDescent="0.2">
      <c r="A396" t="s">
        <v>1117</v>
      </c>
      <c r="B396">
        <v>112</v>
      </c>
      <c r="C396">
        <v>1.1957142857142804</v>
      </c>
      <c r="D396">
        <v>12.053571428571374</v>
      </c>
    </row>
    <row r="397" spans="1:4" x14ac:dyDescent="0.2">
      <c r="A397" t="s">
        <v>1118</v>
      </c>
      <c r="B397">
        <v>112</v>
      </c>
      <c r="C397">
        <v>1.2621428571428506</v>
      </c>
      <c r="D397">
        <v>15.96428571428565</v>
      </c>
    </row>
    <row r="398" spans="1:4" x14ac:dyDescent="0.2">
      <c r="A398" t="s">
        <v>1119</v>
      </c>
      <c r="B398">
        <v>112</v>
      </c>
      <c r="C398">
        <v>1.3285714285714205</v>
      </c>
      <c r="D398">
        <v>29.035714285714278</v>
      </c>
    </row>
    <row r="399" spans="1:4" x14ac:dyDescent="0.2">
      <c r="A399" t="s">
        <v>1120</v>
      </c>
      <c r="B399">
        <v>112</v>
      </c>
      <c r="C399">
        <v>0.93</v>
      </c>
      <c r="D399">
        <v>4.9285714285714279</v>
      </c>
    </row>
    <row r="400" spans="1:4" x14ac:dyDescent="0.2">
      <c r="A400" t="s">
        <v>1121</v>
      </c>
      <c r="B400">
        <v>112</v>
      </c>
      <c r="C400">
        <v>1.0628571428571403</v>
      </c>
      <c r="D400">
        <v>27.428571428571374</v>
      </c>
    </row>
    <row r="401" spans="1:4" x14ac:dyDescent="0.2">
      <c r="A401" t="s">
        <v>1122</v>
      </c>
      <c r="B401">
        <v>112</v>
      </c>
      <c r="C401">
        <v>0.93</v>
      </c>
      <c r="D401">
        <v>9.2142857142856496</v>
      </c>
    </row>
    <row r="402" spans="1:4" x14ac:dyDescent="0.2">
      <c r="A402" t="s">
        <v>1123</v>
      </c>
      <c r="B402">
        <v>104</v>
      </c>
      <c r="C402">
        <v>1.0730769230769195</v>
      </c>
      <c r="D402">
        <v>33.634615384615344</v>
      </c>
    </row>
    <row r="403" spans="1:4" x14ac:dyDescent="0.2">
      <c r="A403" t="s">
        <v>1124</v>
      </c>
      <c r="B403">
        <v>104</v>
      </c>
      <c r="C403">
        <v>1.2876923076923035</v>
      </c>
      <c r="D403">
        <v>26.134615384615348</v>
      </c>
    </row>
    <row r="404" spans="1:4" x14ac:dyDescent="0.2">
      <c r="A404" t="s">
        <v>1125</v>
      </c>
      <c r="B404">
        <v>104</v>
      </c>
      <c r="C404">
        <v>1.0730769230769195</v>
      </c>
      <c r="D404">
        <v>5.4230769230769225</v>
      </c>
    </row>
    <row r="405" spans="1:4" x14ac:dyDescent="0.2">
      <c r="A405" t="s">
        <v>1126</v>
      </c>
      <c r="B405">
        <v>104</v>
      </c>
      <c r="C405">
        <v>0.8584615384615385</v>
      </c>
      <c r="D405">
        <v>30.75</v>
      </c>
    </row>
    <row r="406" spans="1:4" x14ac:dyDescent="0.2">
      <c r="A406" t="s">
        <v>1127</v>
      </c>
      <c r="B406">
        <v>104</v>
      </c>
      <c r="C406">
        <v>0.93</v>
      </c>
      <c r="D406">
        <v>4.5</v>
      </c>
    </row>
    <row r="407" spans="1:4" x14ac:dyDescent="0.2">
      <c r="A407" t="s">
        <v>1128</v>
      </c>
      <c r="B407">
        <v>104</v>
      </c>
      <c r="C407">
        <v>1.216153846153839</v>
      </c>
      <c r="D407">
        <v>23.019230769230703</v>
      </c>
    </row>
    <row r="408" spans="1:4" x14ac:dyDescent="0.2">
      <c r="A408" t="s">
        <v>1129</v>
      </c>
      <c r="B408">
        <v>104</v>
      </c>
      <c r="C408">
        <v>0.93</v>
      </c>
      <c r="D408">
        <v>10.730769230769225</v>
      </c>
    </row>
    <row r="409" spans="1:4" x14ac:dyDescent="0.2">
      <c r="A409" t="s">
        <v>1130</v>
      </c>
      <c r="B409">
        <v>104</v>
      </c>
      <c r="C409">
        <v>0.93</v>
      </c>
      <c r="D409">
        <v>18.923076923076902</v>
      </c>
    </row>
    <row r="410" spans="1:4" x14ac:dyDescent="0.2">
      <c r="A410" t="s">
        <v>1131</v>
      </c>
      <c r="B410">
        <v>104</v>
      </c>
      <c r="C410">
        <v>0.93</v>
      </c>
      <c r="D410">
        <v>14.480769230769225</v>
      </c>
    </row>
    <row r="411" spans="1:4" x14ac:dyDescent="0.2">
      <c r="A411" t="s">
        <v>1132</v>
      </c>
      <c r="B411">
        <v>104</v>
      </c>
      <c r="C411">
        <v>1.001538461538455</v>
      </c>
      <c r="D411">
        <v>25.096153846153804</v>
      </c>
    </row>
    <row r="412" spans="1:4" x14ac:dyDescent="0.2">
      <c r="A412" t="s">
        <v>1133</v>
      </c>
      <c r="B412">
        <v>104</v>
      </c>
      <c r="C412">
        <v>1.216153846153839</v>
      </c>
      <c r="D412">
        <v>22.903846153846125</v>
      </c>
    </row>
    <row r="413" spans="1:4" x14ac:dyDescent="0.2">
      <c r="A413" t="s">
        <v>1134</v>
      </c>
      <c r="B413">
        <v>104</v>
      </c>
      <c r="C413">
        <v>1.1446153846153839</v>
      </c>
      <c r="D413">
        <v>13.55769230769225</v>
      </c>
    </row>
    <row r="414" spans="1:4" x14ac:dyDescent="0.2">
      <c r="A414" t="s">
        <v>1135</v>
      </c>
      <c r="B414">
        <v>104</v>
      </c>
      <c r="C414">
        <v>1.430769230769223</v>
      </c>
      <c r="D414">
        <v>72.403846153846132</v>
      </c>
    </row>
    <row r="415" spans="1:4" x14ac:dyDescent="0.2">
      <c r="A415" t="s">
        <v>1136</v>
      </c>
      <c r="B415">
        <v>104</v>
      </c>
      <c r="C415">
        <v>1.3592307692307677</v>
      </c>
      <c r="D415">
        <v>21.288461538461476</v>
      </c>
    </row>
    <row r="416" spans="1:4" x14ac:dyDescent="0.2">
      <c r="A416" t="s">
        <v>1137</v>
      </c>
      <c r="B416">
        <v>104</v>
      </c>
      <c r="C416">
        <v>1.5738461538461519</v>
      </c>
      <c r="D416">
        <v>44.942307692307672</v>
      </c>
    </row>
    <row r="417" spans="1:4" x14ac:dyDescent="0.2">
      <c r="A417" t="s">
        <v>1138</v>
      </c>
      <c r="B417">
        <v>104</v>
      </c>
      <c r="C417">
        <v>1.430769230769223</v>
      </c>
      <c r="D417">
        <v>11.019230769230699</v>
      </c>
    </row>
    <row r="418" spans="1:4" x14ac:dyDescent="0.2">
      <c r="A418" t="s">
        <v>1139</v>
      </c>
      <c r="B418">
        <v>104</v>
      </c>
      <c r="C418">
        <v>1.001538461538455</v>
      </c>
      <c r="D418">
        <v>1.5576923076923026</v>
      </c>
    </row>
    <row r="419" spans="1:4" x14ac:dyDescent="0.2">
      <c r="A419" t="s">
        <v>1140</v>
      </c>
      <c r="B419">
        <v>104</v>
      </c>
      <c r="C419">
        <v>0.93</v>
      </c>
      <c r="D419">
        <v>4.7307692307692255</v>
      </c>
    </row>
    <row r="420" spans="1:4" x14ac:dyDescent="0.2">
      <c r="A420" t="s">
        <v>1141</v>
      </c>
      <c r="B420">
        <v>104</v>
      </c>
      <c r="C420">
        <v>0.93</v>
      </c>
      <c r="D420">
        <v>0</v>
      </c>
    </row>
    <row r="421" spans="1:4" x14ac:dyDescent="0.2">
      <c r="A421" t="s">
        <v>1142</v>
      </c>
      <c r="B421">
        <v>104</v>
      </c>
      <c r="C421">
        <v>1.430769230769223</v>
      </c>
      <c r="D421">
        <v>19.961538461538449</v>
      </c>
    </row>
    <row r="422" spans="1:4" x14ac:dyDescent="0.2">
      <c r="A422" t="s">
        <v>1143</v>
      </c>
      <c r="B422">
        <v>104</v>
      </c>
      <c r="C422">
        <v>1.001538461538455</v>
      </c>
      <c r="D422">
        <v>18.230769230769226</v>
      </c>
    </row>
    <row r="423" spans="1:4" x14ac:dyDescent="0.2">
      <c r="A423" t="s">
        <v>1144</v>
      </c>
      <c r="B423">
        <v>104</v>
      </c>
      <c r="C423">
        <v>0.93</v>
      </c>
      <c r="D423">
        <v>0.40384615384615352</v>
      </c>
    </row>
    <row r="424" spans="1:4" x14ac:dyDescent="0.2">
      <c r="A424" t="s">
        <v>1145</v>
      </c>
      <c r="B424">
        <v>104</v>
      </c>
      <c r="C424">
        <v>1.1446153846153839</v>
      </c>
      <c r="D424">
        <v>7.6730769230769003</v>
      </c>
    </row>
    <row r="425" spans="1:4" x14ac:dyDescent="0.2">
      <c r="A425" t="s">
        <v>1146</v>
      </c>
      <c r="B425">
        <v>104</v>
      </c>
      <c r="C425">
        <v>0.93</v>
      </c>
      <c r="D425">
        <v>0.40384615384615352</v>
      </c>
    </row>
    <row r="426" spans="1:4" x14ac:dyDescent="0.2">
      <c r="A426" t="s">
        <v>1147</v>
      </c>
      <c r="B426">
        <v>104</v>
      </c>
      <c r="C426">
        <v>2.0030769230769199</v>
      </c>
      <c r="D426">
        <v>19.730769230769226</v>
      </c>
    </row>
    <row r="427" spans="1:4" x14ac:dyDescent="0.2">
      <c r="A427" t="s">
        <v>1148</v>
      </c>
      <c r="B427">
        <v>104</v>
      </c>
      <c r="C427">
        <v>1.216153846153839</v>
      </c>
      <c r="D427">
        <v>15.980769230769225</v>
      </c>
    </row>
    <row r="428" spans="1:4" x14ac:dyDescent="0.2">
      <c r="A428" t="s">
        <v>1149</v>
      </c>
      <c r="B428">
        <v>104</v>
      </c>
      <c r="C428">
        <v>1.5023076923076875</v>
      </c>
      <c r="D428">
        <v>59.884615384615344</v>
      </c>
    </row>
    <row r="429" spans="1:4" x14ac:dyDescent="0.2">
      <c r="A429" t="s">
        <v>1150</v>
      </c>
      <c r="B429">
        <v>96</v>
      </c>
      <c r="C429">
        <v>1.007499999999997</v>
      </c>
      <c r="D429">
        <v>4.3125</v>
      </c>
    </row>
    <row r="430" spans="1:4" x14ac:dyDescent="0.2">
      <c r="A430" t="s">
        <v>1151</v>
      </c>
      <c r="B430">
        <v>96</v>
      </c>
      <c r="C430">
        <v>0.93</v>
      </c>
      <c r="D430">
        <v>0</v>
      </c>
    </row>
    <row r="431" spans="1:4" x14ac:dyDescent="0.2">
      <c r="A431" t="s">
        <v>1152</v>
      </c>
      <c r="B431">
        <v>96</v>
      </c>
      <c r="C431">
        <v>2.0149999999999939</v>
      </c>
      <c r="D431">
        <v>45.75</v>
      </c>
    </row>
    <row r="432" spans="1:4" x14ac:dyDescent="0.2">
      <c r="A432" t="s">
        <v>1153</v>
      </c>
      <c r="B432">
        <v>96</v>
      </c>
      <c r="C432">
        <v>0.93</v>
      </c>
      <c r="D432">
        <v>0.62499999999999978</v>
      </c>
    </row>
    <row r="433" spans="1:4" x14ac:dyDescent="0.2">
      <c r="A433" t="s">
        <v>1154</v>
      </c>
      <c r="B433">
        <v>96</v>
      </c>
      <c r="C433">
        <v>1.2399999999999969</v>
      </c>
      <c r="D433">
        <v>15.87499999999995</v>
      </c>
    </row>
    <row r="434" spans="1:4" x14ac:dyDescent="0.2">
      <c r="A434" t="s">
        <v>1155</v>
      </c>
      <c r="B434">
        <v>96</v>
      </c>
      <c r="C434">
        <v>0.93</v>
      </c>
      <c r="D434">
        <v>2.0625</v>
      </c>
    </row>
    <row r="435" spans="1:4" x14ac:dyDescent="0.2">
      <c r="A435" t="s">
        <v>1156</v>
      </c>
      <c r="B435">
        <v>96</v>
      </c>
      <c r="C435">
        <v>0.93</v>
      </c>
      <c r="D435">
        <v>0.81249999999999745</v>
      </c>
    </row>
    <row r="436" spans="1:4" x14ac:dyDescent="0.2">
      <c r="A436" t="s">
        <v>1157</v>
      </c>
      <c r="B436">
        <v>96</v>
      </c>
      <c r="C436">
        <v>1.084999999999994</v>
      </c>
      <c r="D436">
        <v>16.06249999999995</v>
      </c>
    </row>
    <row r="437" spans="1:4" x14ac:dyDescent="0.2">
      <c r="A437" t="s">
        <v>1158</v>
      </c>
      <c r="B437">
        <v>96</v>
      </c>
      <c r="C437">
        <v>1.084999999999994</v>
      </c>
      <c r="D437">
        <v>15.87499999999995</v>
      </c>
    </row>
    <row r="438" spans="1:4" x14ac:dyDescent="0.2">
      <c r="A438" t="s">
        <v>1159</v>
      </c>
      <c r="B438">
        <v>96</v>
      </c>
      <c r="C438">
        <v>1.2399999999999969</v>
      </c>
      <c r="D438">
        <v>12.249999999999975</v>
      </c>
    </row>
    <row r="439" spans="1:4" x14ac:dyDescent="0.2">
      <c r="A439" t="s">
        <v>1160</v>
      </c>
      <c r="B439">
        <v>96</v>
      </c>
      <c r="C439">
        <v>0.93</v>
      </c>
      <c r="D439">
        <v>0</v>
      </c>
    </row>
    <row r="440" spans="1:4" x14ac:dyDescent="0.2">
      <c r="A440" t="s">
        <v>1161</v>
      </c>
      <c r="B440">
        <v>96</v>
      </c>
      <c r="C440">
        <v>1.395</v>
      </c>
      <c r="D440">
        <v>10.43749999999995</v>
      </c>
    </row>
    <row r="441" spans="1:4" x14ac:dyDescent="0.2">
      <c r="A441" t="s">
        <v>1162</v>
      </c>
      <c r="B441">
        <v>96</v>
      </c>
      <c r="C441">
        <v>1.1625000000000001</v>
      </c>
      <c r="D441">
        <v>31.749999999999975</v>
      </c>
    </row>
    <row r="442" spans="1:4" x14ac:dyDescent="0.2">
      <c r="A442" t="s">
        <v>1163</v>
      </c>
      <c r="B442">
        <v>96</v>
      </c>
      <c r="C442">
        <v>0.93</v>
      </c>
      <c r="D442">
        <v>0.3124999999999995</v>
      </c>
    </row>
    <row r="443" spans="1:4" x14ac:dyDescent="0.2">
      <c r="A443" t="s">
        <v>1164</v>
      </c>
      <c r="B443">
        <v>96</v>
      </c>
      <c r="C443">
        <v>1.395</v>
      </c>
      <c r="D443">
        <v>15.249999999999975</v>
      </c>
    </row>
    <row r="444" spans="1:4" x14ac:dyDescent="0.2">
      <c r="A444" t="s">
        <v>1165</v>
      </c>
      <c r="B444">
        <v>96</v>
      </c>
      <c r="C444">
        <v>1.395</v>
      </c>
      <c r="D444">
        <v>14.37499999999995</v>
      </c>
    </row>
    <row r="445" spans="1:4" x14ac:dyDescent="0.2">
      <c r="A445" t="s">
        <v>1166</v>
      </c>
      <c r="B445">
        <v>96</v>
      </c>
      <c r="C445">
        <v>0.93</v>
      </c>
      <c r="D445">
        <v>5.6874999999999982</v>
      </c>
    </row>
    <row r="446" spans="1:4" x14ac:dyDescent="0.2">
      <c r="A446" t="s">
        <v>1167</v>
      </c>
      <c r="B446">
        <v>96</v>
      </c>
      <c r="C446">
        <v>1.3174999999999939</v>
      </c>
      <c r="D446">
        <v>7.5624999999999751</v>
      </c>
    </row>
    <row r="447" spans="1:4" x14ac:dyDescent="0.2">
      <c r="A447" t="s">
        <v>1168</v>
      </c>
      <c r="B447">
        <v>96</v>
      </c>
      <c r="C447">
        <v>1.4724999999999968</v>
      </c>
      <c r="D447">
        <v>16.43749999999995</v>
      </c>
    </row>
    <row r="448" spans="1:4" x14ac:dyDescent="0.2">
      <c r="A448" t="s">
        <v>1169</v>
      </c>
      <c r="B448">
        <v>96</v>
      </c>
      <c r="C448">
        <v>1.084999999999994</v>
      </c>
      <c r="D448">
        <v>9.3124999999999503</v>
      </c>
    </row>
    <row r="449" spans="1:4" x14ac:dyDescent="0.2">
      <c r="A449" t="s">
        <v>1170</v>
      </c>
      <c r="B449">
        <v>96</v>
      </c>
      <c r="C449">
        <v>1.3174999999999939</v>
      </c>
      <c r="D449">
        <v>12.68749999999995</v>
      </c>
    </row>
    <row r="450" spans="1:4" x14ac:dyDescent="0.2">
      <c r="A450" t="s">
        <v>1171</v>
      </c>
      <c r="B450">
        <v>96</v>
      </c>
      <c r="C450">
        <v>1.9374999999999969</v>
      </c>
      <c r="D450">
        <v>36.812499999999972</v>
      </c>
    </row>
    <row r="451" spans="1:4" x14ac:dyDescent="0.2">
      <c r="A451" t="s">
        <v>1172</v>
      </c>
      <c r="B451">
        <v>96</v>
      </c>
      <c r="C451">
        <v>0.93</v>
      </c>
      <c r="D451">
        <v>0</v>
      </c>
    </row>
    <row r="452" spans="1:4" x14ac:dyDescent="0.2">
      <c r="A452" t="s">
        <v>1173</v>
      </c>
      <c r="B452">
        <v>96</v>
      </c>
      <c r="C452">
        <v>1.084999999999994</v>
      </c>
      <c r="D452">
        <v>4.9999999999999947</v>
      </c>
    </row>
    <row r="453" spans="1:4" x14ac:dyDescent="0.2">
      <c r="A453" t="s">
        <v>1174</v>
      </c>
      <c r="B453">
        <v>96</v>
      </c>
      <c r="C453">
        <v>0.7749999999999998</v>
      </c>
      <c r="D453">
        <v>1.7499999999999973</v>
      </c>
    </row>
    <row r="454" spans="1:4" x14ac:dyDescent="0.2">
      <c r="A454" t="s">
        <v>1175</v>
      </c>
      <c r="B454">
        <v>96</v>
      </c>
      <c r="C454">
        <v>1.007499999999997</v>
      </c>
      <c r="D454">
        <v>22.43749999999995</v>
      </c>
    </row>
    <row r="455" spans="1:4" x14ac:dyDescent="0.2">
      <c r="A455" t="s">
        <v>1176</v>
      </c>
      <c r="B455">
        <v>96</v>
      </c>
      <c r="C455">
        <v>1.007499999999997</v>
      </c>
      <c r="D455">
        <v>4.8124999999999947</v>
      </c>
    </row>
    <row r="456" spans="1:4" x14ac:dyDescent="0.2">
      <c r="A456" t="s">
        <v>1177</v>
      </c>
      <c r="B456">
        <v>96</v>
      </c>
      <c r="C456">
        <v>1.007499999999997</v>
      </c>
      <c r="D456">
        <v>6.4374999999999982</v>
      </c>
    </row>
    <row r="457" spans="1:4" x14ac:dyDescent="0.2">
      <c r="A457" t="s">
        <v>1178</v>
      </c>
      <c r="B457">
        <v>96</v>
      </c>
      <c r="C457">
        <v>0.93</v>
      </c>
      <c r="D457">
        <v>1.875</v>
      </c>
    </row>
    <row r="458" spans="1:4" x14ac:dyDescent="0.2">
      <c r="A458" t="s">
        <v>1179</v>
      </c>
      <c r="B458">
        <v>96</v>
      </c>
      <c r="C458">
        <v>1.007499999999997</v>
      </c>
      <c r="D458">
        <v>27.249999999999975</v>
      </c>
    </row>
    <row r="459" spans="1:4" x14ac:dyDescent="0.2">
      <c r="A459" t="s">
        <v>1180</v>
      </c>
      <c r="B459">
        <v>88</v>
      </c>
      <c r="C459">
        <v>0.93</v>
      </c>
      <c r="D459">
        <v>0</v>
      </c>
    </row>
    <row r="460" spans="1:4" x14ac:dyDescent="0.2">
      <c r="A460" t="s">
        <v>1181</v>
      </c>
      <c r="B460">
        <v>88</v>
      </c>
      <c r="C460">
        <v>1.521818181818176</v>
      </c>
      <c r="D460">
        <v>4.4318181818181754</v>
      </c>
    </row>
    <row r="461" spans="1:4" x14ac:dyDescent="0.2">
      <c r="A461" t="s">
        <v>1182</v>
      </c>
      <c r="B461">
        <v>88</v>
      </c>
      <c r="C461">
        <v>0.93</v>
      </c>
      <c r="D461">
        <v>0.95454545454545259</v>
      </c>
    </row>
    <row r="462" spans="1:4" x14ac:dyDescent="0.2">
      <c r="A462" t="s">
        <v>1183</v>
      </c>
      <c r="B462">
        <v>88</v>
      </c>
      <c r="C462">
        <v>0.93</v>
      </c>
      <c r="D462">
        <v>1.02272727272727</v>
      </c>
    </row>
    <row r="463" spans="1:4" x14ac:dyDescent="0.2">
      <c r="A463" t="s">
        <v>1184</v>
      </c>
      <c r="B463">
        <v>88</v>
      </c>
      <c r="C463">
        <v>0.93</v>
      </c>
      <c r="D463">
        <v>0</v>
      </c>
    </row>
    <row r="464" spans="1:4" x14ac:dyDescent="0.2">
      <c r="A464" t="s">
        <v>1185</v>
      </c>
      <c r="B464">
        <v>88</v>
      </c>
      <c r="C464">
        <v>1.0145454545454538</v>
      </c>
      <c r="D464">
        <v>31.977272727272698</v>
      </c>
    </row>
    <row r="465" spans="1:4" x14ac:dyDescent="0.2">
      <c r="A465" t="s">
        <v>1186</v>
      </c>
      <c r="B465">
        <v>88</v>
      </c>
      <c r="C465">
        <v>0.93</v>
      </c>
      <c r="D465">
        <v>0.61363636363636354</v>
      </c>
    </row>
    <row r="466" spans="1:4" x14ac:dyDescent="0.2">
      <c r="A466" t="s">
        <v>1187</v>
      </c>
      <c r="B466">
        <v>88</v>
      </c>
      <c r="C466">
        <v>0.93</v>
      </c>
      <c r="D466">
        <v>0.47727272727272702</v>
      </c>
    </row>
    <row r="467" spans="1:4" x14ac:dyDescent="0.2">
      <c r="A467" t="s">
        <v>1188</v>
      </c>
      <c r="B467">
        <v>88</v>
      </c>
      <c r="C467">
        <v>0.93</v>
      </c>
      <c r="D467">
        <v>5.3863636363636349</v>
      </c>
    </row>
    <row r="468" spans="1:4" x14ac:dyDescent="0.2">
      <c r="A468" t="s">
        <v>1189</v>
      </c>
      <c r="B468">
        <v>88</v>
      </c>
      <c r="C468">
        <v>1.1836363636363612</v>
      </c>
      <c r="D468">
        <v>30.545454545454525</v>
      </c>
    </row>
    <row r="469" spans="1:4" x14ac:dyDescent="0.2">
      <c r="A469" t="s">
        <v>1190</v>
      </c>
      <c r="B469">
        <v>88</v>
      </c>
      <c r="C469">
        <v>1.521818181818176</v>
      </c>
      <c r="D469">
        <v>23.181818181818173</v>
      </c>
    </row>
    <row r="470" spans="1:4" x14ac:dyDescent="0.2">
      <c r="A470" t="s">
        <v>1191</v>
      </c>
      <c r="B470">
        <v>88</v>
      </c>
      <c r="C470">
        <v>0.93</v>
      </c>
      <c r="D470">
        <v>0</v>
      </c>
    </row>
    <row r="471" spans="1:4" x14ac:dyDescent="0.2">
      <c r="A471" t="s">
        <v>1192</v>
      </c>
      <c r="B471">
        <v>88</v>
      </c>
      <c r="C471">
        <v>1.6909090909090834</v>
      </c>
      <c r="D471">
        <v>31.704545454545404</v>
      </c>
    </row>
    <row r="472" spans="1:4" x14ac:dyDescent="0.2">
      <c r="A472" t="s">
        <v>1193</v>
      </c>
      <c r="B472">
        <v>88</v>
      </c>
      <c r="C472">
        <v>0.84545454545454535</v>
      </c>
      <c r="D472">
        <v>1.7727272727272703</v>
      </c>
    </row>
    <row r="473" spans="1:4" x14ac:dyDescent="0.2">
      <c r="A473" t="s">
        <v>1194</v>
      </c>
      <c r="B473">
        <v>88</v>
      </c>
      <c r="C473">
        <v>0.93</v>
      </c>
      <c r="D473">
        <v>17.25</v>
      </c>
    </row>
    <row r="474" spans="1:4" x14ac:dyDescent="0.2">
      <c r="A474" t="s">
        <v>1195</v>
      </c>
      <c r="B474">
        <v>88</v>
      </c>
      <c r="C474">
        <v>0.93</v>
      </c>
      <c r="D474">
        <v>0.47727272727272702</v>
      </c>
    </row>
    <row r="475" spans="1:4" x14ac:dyDescent="0.2">
      <c r="A475" t="s">
        <v>1196</v>
      </c>
      <c r="B475">
        <v>88</v>
      </c>
      <c r="C475">
        <v>0.93</v>
      </c>
      <c r="D475">
        <v>0.54545454545454519</v>
      </c>
    </row>
    <row r="476" spans="1:4" x14ac:dyDescent="0.2">
      <c r="A476" t="s">
        <v>1197</v>
      </c>
      <c r="B476">
        <v>88</v>
      </c>
      <c r="C476">
        <v>0.93</v>
      </c>
      <c r="D476">
        <v>0</v>
      </c>
    </row>
    <row r="477" spans="1:4" x14ac:dyDescent="0.2">
      <c r="A477" t="s">
        <v>1198</v>
      </c>
      <c r="B477">
        <v>88</v>
      </c>
      <c r="C477">
        <v>1.521818181818176</v>
      </c>
      <c r="D477">
        <v>25.022727272727227</v>
      </c>
    </row>
    <row r="478" spans="1:4" x14ac:dyDescent="0.2">
      <c r="A478" t="s">
        <v>1199</v>
      </c>
      <c r="B478">
        <v>88</v>
      </c>
      <c r="C478">
        <v>1.0145454545454538</v>
      </c>
      <c r="D478">
        <v>15.477272727272702</v>
      </c>
    </row>
    <row r="479" spans="1:4" x14ac:dyDescent="0.2">
      <c r="A479" t="s">
        <v>1200</v>
      </c>
      <c r="B479">
        <v>88</v>
      </c>
      <c r="C479">
        <v>1.4372727272727224</v>
      </c>
      <c r="D479">
        <v>4.2954545454545405</v>
      </c>
    </row>
    <row r="480" spans="1:4" x14ac:dyDescent="0.2">
      <c r="A480" t="s">
        <v>1201</v>
      </c>
      <c r="B480">
        <v>88</v>
      </c>
      <c r="C480">
        <v>1.0145454545454538</v>
      </c>
      <c r="D480">
        <v>7.7727272727272245</v>
      </c>
    </row>
    <row r="481" spans="1:4" x14ac:dyDescent="0.2">
      <c r="A481" t="s">
        <v>1202</v>
      </c>
      <c r="B481">
        <v>88</v>
      </c>
      <c r="C481">
        <v>1.521818181818176</v>
      </c>
      <c r="D481">
        <v>10.568181818181749</v>
      </c>
    </row>
    <row r="482" spans="1:4" x14ac:dyDescent="0.2">
      <c r="A482" t="s">
        <v>1203</v>
      </c>
      <c r="B482">
        <v>88</v>
      </c>
      <c r="C482">
        <v>1.6063636363636296</v>
      </c>
      <c r="D482">
        <v>20.522727272727224</v>
      </c>
    </row>
    <row r="483" spans="1:4" x14ac:dyDescent="0.2">
      <c r="A483" t="s">
        <v>1204</v>
      </c>
      <c r="B483">
        <v>88</v>
      </c>
      <c r="C483">
        <v>0.93</v>
      </c>
      <c r="D483">
        <v>8.7272727272727</v>
      </c>
    </row>
    <row r="484" spans="1:4" x14ac:dyDescent="0.2">
      <c r="A484" t="s">
        <v>1205</v>
      </c>
      <c r="B484">
        <v>88</v>
      </c>
      <c r="C484">
        <v>1.521818181818176</v>
      </c>
      <c r="D484">
        <v>22.5</v>
      </c>
    </row>
    <row r="485" spans="1:4" x14ac:dyDescent="0.2">
      <c r="A485" t="s">
        <v>1206</v>
      </c>
      <c r="B485">
        <v>88</v>
      </c>
      <c r="C485">
        <v>2.0290909090909075</v>
      </c>
      <c r="D485">
        <v>20.931818181818173</v>
      </c>
    </row>
    <row r="486" spans="1:4" x14ac:dyDescent="0.2">
      <c r="A486" t="s">
        <v>1207</v>
      </c>
      <c r="B486">
        <v>88</v>
      </c>
      <c r="C486">
        <v>1.1836363636363612</v>
      </c>
      <c r="D486">
        <v>25.636363636363576</v>
      </c>
    </row>
    <row r="487" spans="1:4" x14ac:dyDescent="0.2">
      <c r="A487" t="s">
        <v>1208</v>
      </c>
      <c r="B487">
        <v>88</v>
      </c>
      <c r="C487">
        <v>1.0145454545454538</v>
      </c>
      <c r="D487">
        <v>28.5</v>
      </c>
    </row>
    <row r="488" spans="1:4" x14ac:dyDescent="0.2">
      <c r="A488" t="s">
        <v>1209</v>
      </c>
      <c r="B488">
        <v>88</v>
      </c>
      <c r="C488">
        <v>1.0145454545454538</v>
      </c>
      <c r="D488">
        <v>13.5</v>
      </c>
    </row>
    <row r="489" spans="1:4" x14ac:dyDescent="0.2">
      <c r="A489" t="s">
        <v>1210</v>
      </c>
      <c r="B489">
        <v>88</v>
      </c>
      <c r="C489">
        <v>0.93</v>
      </c>
      <c r="D489">
        <v>11.795454545454525</v>
      </c>
    </row>
    <row r="490" spans="1:4" x14ac:dyDescent="0.2">
      <c r="A490" t="s">
        <v>1211</v>
      </c>
      <c r="B490">
        <v>88</v>
      </c>
      <c r="C490">
        <v>1.2681818181818147</v>
      </c>
      <c r="D490">
        <v>8.25</v>
      </c>
    </row>
    <row r="491" spans="1:4" x14ac:dyDescent="0.2">
      <c r="A491" t="s">
        <v>1212</v>
      </c>
      <c r="B491">
        <v>88</v>
      </c>
      <c r="C491">
        <v>1.7754545454545372</v>
      </c>
      <c r="D491">
        <v>12.613636363636349</v>
      </c>
    </row>
    <row r="492" spans="1:4" x14ac:dyDescent="0.2">
      <c r="A492" t="s">
        <v>1213</v>
      </c>
      <c r="B492">
        <v>88</v>
      </c>
      <c r="C492">
        <v>1.0990909090909076</v>
      </c>
      <c r="D492">
        <v>6.5454545454545396</v>
      </c>
    </row>
    <row r="493" spans="1:4" x14ac:dyDescent="0.2">
      <c r="A493" t="s">
        <v>1214</v>
      </c>
      <c r="B493">
        <v>88</v>
      </c>
      <c r="C493">
        <v>0.93</v>
      </c>
      <c r="D493">
        <v>0</v>
      </c>
    </row>
    <row r="494" spans="1:4" x14ac:dyDescent="0.2">
      <c r="A494" t="s">
        <v>1215</v>
      </c>
      <c r="B494">
        <v>88</v>
      </c>
      <c r="C494">
        <v>0.93</v>
      </c>
      <c r="D494">
        <v>0</v>
      </c>
    </row>
    <row r="495" spans="1:4" x14ac:dyDescent="0.2">
      <c r="A495" t="s">
        <v>1216</v>
      </c>
      <c r="B495">
        <v>88</v>
      </c>
      <c r="C495">
        <v>1.6063636363636296</v>
      </c>
      <c r="D495">
        <v>17.045454545454525</v>
      </c>
    </row>
    <row r="496" spans="1:4" x14ac:dyDescent="0.2">
      <c r="A496" t="s">
        <v>1217</v>
      </c>
      <c r="B496">
        <v>88</v>
      </c>
      <c r="C496">
        <v>0.93</v>
      </c>
      <c r="D496">
        <v>4.2272727272727222</v>
      </c>
    </row>
    <row r="497" spans="1:4" x14ac:dyDescent="0.2">
      <c r="A497" t="s">
        <v>1218</v>
      </c>
      <c r="B497">
        <v>88</v>
      </c>
      <c r="C497">
        <v>1.0145454545454538</v>
      </c>
      <c r="D497">
        <v>4.1590909090909047</v>
      </c>
    </row>
    <row r="498" spans="1:4" x14ac:dyDescent="0.2">
      <c r="A498" t="s">
        <v>1219</v>
      </c>
      <c r="B498">
        <v>88</v>
      </c>
      <c r="C498">
        <v>0.93</v>
      </c>
      <c r="D498">
        <v>2.931818181818175</v>
      </c>
    </row>
    <row r="499" spans="1:4" x14ac:dyDescent="0.2">
      <c r="A499" t="s">
        <v>1220</v>
      </c>
      <c r="B499">
        <v>88</v>
      </c>
      <c r="C499">
        <v>1.2681818181818147</v>
      </c>
      <c r="D499">
        <v>19.295454545454525</v>
      </c>
    </row>
    <row r="500" spans="1:4" x14ac:dyDescent="0.2">
      <c r="A500" t="s">
        <v>1221</v>
      </c>
      <c r="B500">
        <v>88</v>
      </c>
      <c r="C500">
        <v>1.0990909090909076</v>
      </c>
      <c r="D500">
        <v>39.886363636363576</v>
      </c>
    </row>
    <row r="501" spans="1:4" x14ac:dyDescent="0.2">
      <c r="A501" t="s">
        <v>1222</v>
      </c>
      <c r="B501">
        <v>80</v>
      </c>
      <c r="C501">
        <v>0.93</v>
      </c>
      <c r="D501">
        <v>4.8000000000000007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website</vt:lpstr>
      <vt:lpstr>instagram</vt:lpstr>
      <vt:lpstr>facebook</vt:lpstr>
      <vt:lpstr>x</vt:lpstr>
      <vt:lpstr>revenue_cost_montecarlo</vt:lpstr>
      <vt:lpstr>traffic_timeseries_prophet</vt:lpstr>
      <vt:lpstr>people_analytics</vt:lpstr>
      <vt:lpstr>association_rules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Oyetoro</dc:creator>
  <cp:lastModifiedBy>Tobi Oyetoro</cp:lastModifiedBy>
  <dcterms:created xsi:type="dcterms:W3CDTF">2026-05-04T12:35:06Z</dcterms:created>
  <dcterms:modified xsi:type="dcterms:W3CDTF">2026-05-11T14:51:33Z</dcterms:modified>
</cp:coreProperties>
</file>